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/>
  <workbookPr/>
  <mc:AlternateContent xmlns:mc="http://schemas.openxmlformats.org/markup-compatibility/2006">
    <mc:Choice Requires="x15">
      <x15ac:absPath xmlns:x15ac="http://schemas.microsoft.com/office/spreadsheetml/2010/11/ac" url="C:\Users\yathg\Desktop\AAC\Rising Projects\Project 11\"/>
    </mc:Choice>
  </mc:AlternateContent>
  <bookViews>
    <workbookView xWindow="0" yWindow="0" windowWidth="23040" windowHeight="9072"/>
  </bookViews>
  <sheets>
    <sheet name="Continuity Group" sheetId="2" r:id="rId1"/>
    <sheet name="Continuity Group for Primary" sheetId="3" r:id="rId2"/>
    <sheet name="Continuity Group for Granular" sheetId="4" r:id="rId3"/>
    <sheet name="Primary Values" sheetId="5" r:id="rId4"/>
    <sheet name="Granular Values" sheetId="6" r:id="rId5"/>
    <sheet name="Actuarial Data" sheetId="7" r:id="rId6"/>
    <sheet name="Primary Data Point Formulas" sheetId="8" r:id="rId7"/>
    <sheet name="Granular Data Point Formulas" sheetId="9" r:id="rId8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1" i="2" l="1"/>
  <c r="A20" i="2"/>
  <c r="A19" i="2"/>
  <c r="A18" i="2"/>
  <c r="A17" i="2"/>
  <c r="A16" i="2"/>
  <c r="A15" i="2"/>
  <c r="A14" i="2"/>
  <c r="A13" i="2"/>
  <c r="E6" i="2"/>
  <c r="E7" i="2"/>
  <c r="E8" i="2"/>
  <c r="E9" i="2"/>
  <c r="E10" i="2"/>
  <c r="E3" i="2"/>
  <c r="E4" i="2"/>
  <c r="E5" i="2"/>
  <c r="E2" i="2"/>
  <c r="D6" i="2"/>
  <c r="D7" i="2"/>
  <c r="D8" i="2"/>
  <c r="D9" i="2"/>
  <c r="D10" i="2"/>
  <c r="D3" i="2"/>
  <c r="D4" i="2"/>
  <c r="D5" i="2"/>
  <c r="C6" i="2"/>
  <c r="C7" i="2"/>
  <c r="C8" i="2"/>
  <c r="C9" i="2"/>
  <c r="C10" i="2"/>
  <c r="C3" i="2"/>
  <c r="C4" i="2"/>
  <c r="C5" i="2"/>
  <c r="B6" i="2"/>
  <c r="B7" i="2"/>
  <c r="B8" i="2"/>
  <c r="B9" i="2"/>
  <c r="B10" i="2"/>
  <c r="B3" i="2"/>
  <c r="B4" i="2"/>
  <c r="B5" i="2"/>
  <c r="D2" i="2"/>
  <c r="C2" i="2"/>
  <c r="B2" i="2"/>
  <c r="E7" i="3"/>
  <c r="E8" i="3"/>
  <c r="E9" i="3"/>
  <c r="E10" i="3"/>
  <c r="E11" i="3"/>
  <c r="E3" i="3"/>
  <c r="E4" i="3"/>
  <c r="E5" i="3"/>
  <c r="E6" i="3"/>
  <c r="D11" i="3"/>
  <c r="D10" i="3"/>
  <c r="D9" i="3"/>
  <c r="D8" i="3"/>
  <c r="D7" i="3"/>
  <c r="E2" i="3"/>
  <c r="C14" i="4"/>
  <c r="C15" i="4"/>
  <c r="C16" i="4"/>
  <c r="C17" i="4"/>
  <c r="C18" i="4"/>
  <c r="C19" i="4"/>
  <c r="C20" i="4"/>
  <c r="C21" i="4"/>
  <c r="C3" i="4"/>
  <c r="C4" i="4"/>
  <c r="C5" i="4"/>
  <c r="C6" i="4"/>
  <c r="C7" i="4"/>
  <c r="C8" i="4"/>
  <c r="C9" i="4"/>
  <c r="C10" i="4"/>
  <c r="C11" i="4"/>
  <c r="C12" i="4"/>
  <c r="C13" i="4"/>
  <c r="C2" i="4"/>
  <c r="G8" i="5"/>
  <c r="G9" i="5"/>
  <c r="G10" i="5"/>
  <c r="G11" i="5"/>
  <c r="F8" i="5"/>
  <c r="F9" i="5"/>
  <c r="F10" i="5"/>
  <c r="F11" i="5"/>
  <c r="D11" i="5"/>
  <c r="D10" i="5"/>
  <c r="D9" i="5"/>
  <c r="D8" i="5"/>
  <c r="G3" i="5"/>
  <c r="G4" i="5"/>
  <c r="G5" i="5"/>
  <c r="G6" i="5"/>
  <c r="G7" i="5"/>
  <c r="G2" i="5"/>
  <c r="F3" i="5"/>
  <c r="F4" i="5"/>
  <c r="F5" i="5"/>
  <c r="F6" i="5"/>
  <c r="F7" i="5"/>
  <c r="F2" i="5"/>
  <c r="F17" i="6"/>
  <c r="F18" i="6"/>
  <c r="F19" i="6"/>
  <c r="F20" i="6"/>
  <c r="F21" i="6"/>
  <c r="F22" i="6"/>
  <c r="F23" i="6"/>
  <c r="F24" i="6"/>
  <c r="F25" i="6"/>
  <c r="F26" i="6"/>
  <c r="E17" i="6"/>
  <c r="E18" i="6"/>
  <c r="E19" i="6"/>
  <c r="E20" i="6"/>
  <c r="E21" i="6"/>
  <c r="E22" i="6"/>
  <c r="E23" i="6"/>
  <c r="E24" i="6"/>
  <c r="E25" i="6"/>
  <c r="E26" i="6"/>
  <c r="C19" i="7"/>
  <c r="B19" i="7"/>
  <c r="F10" i="6"/>
  <c r="E3" i="6"/>
  <c r="F3" i="6" s="1"/>
  <c r="E4" i="6"/>
  <c r="F4" i="6" s="1"/>
  <c r="E5" i="6"/>
  <c r="F5" i="6" s="1"/>
  <c r="E6" i="6"/>
  <c r="F6" i="6" s="1"/>
  <c r="E7" i="6"/>
  <c r="F7" i="6" s="1"/>
  <c r="E8" i="6"/>
  <c r="F8" i="6" s="1"/>
  <c r="E9" i="6"/>
  <c r="F9" i="6" s="1"/>
  <c r="E10" i="6"/>
  <c r="E11" i="6"/>
  <c r="F11" i="6" s="1"/>
  <c r="E12" i="6"/>
  <c r="F12" i="6" s="1"/>
  <c r="E13" i="6"/>
  <c r="F13" i="6" s="1"/>
  <c r="E14" i="6"/>
  <c r="F14" i="6" s="1"/>
  <c r="E15" i="6"/>
  <c r="F15" i="6" s="1"/>
  <c r="E16" i="6"/>
  <c r="F16" i="6" s="1"/>
  <c r="E2" i="6"/>
  <c r="F2" i="6" s="1"/>
  <c r="D3" i="5" l="1"/>
  <c r="D4" i="5"/>
  <c r="D5" i="5"/>
  <c r="D6" i="5"/>
  <c r="D7" i="5"/>
  <c r="D2" i="5"/>
  <c r="D6" i="3"/>
  <c r="D5" i="3"/>
  <c r="D2" i="3"/>
  <c r="D3" i="3"/>
  <c r="D4" i="3"/>
</calcChain>
</file>

<file path=xl/comments1.xml><?xml version="1.0" encoding="utf-8"?>
<comments xmlns="http://schemas.openxmlformats.org/spreadsheetml/2006/main">
  <authors>
    <author>Microsoft Office User</author>
  </authors>
  <commentList>
    <comment ref="E1" authorId="0" shapeId="0">
      <text>
        <r>
          <rPr>
            <b/>
            <sz val="10"/>
            <color rgb="FF000000"/>
            <rFont val="Tahoma"/>
            <family val="2"/>
          </rPr>
          <t>Microsoft Office User: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If you've been able to reconcile your continuity groups, this column should be 0. If not, this column will be the difference between the continuity group value for a parent and granular data point.</t>
        </r>
      </text>
    </comment>
  </commentList>
</comments>
</file>

<file path=xl/comments2.xml><?xml version="1.0" encoding="utf-8"?>
<comments xmlns="http://schemas.openxmlformats.org/spreadsheetml/2006/main">
  <authors>
    <author>Microsoft Office User</author>
  </authors>
  <commentList>
    <comment ref="E1" authorId="0" shapeId="0">
      <text>
        <r>
          <rPr>
            <b/>
            <sz val="10"/>
            <color rgb="FF000000"/>
            <rFont val="Tahoma"/>
            <family val="2"/>
          </rPr>
          <t>Microsoft Office User: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This column will sum the values for each Row Name assigned to a specific primary data point</t>
        </r>
      </text>
    </comment>
  </commentList>
</comments>
</file>

<file path=xl/comments3.xml><?xml version="1.0" encoding="utf-8"?>
<comments xmlns="http://schemas.openxmlformats.org/spreadsheetml/2006/main">
  <authors>
    <author>Microsoft Office User</author>
  </authors>
  <commentList>
    <comment ref="C1" authorId="0" shapeId="0">
      <text>
        <r>
          <rPr>
            <b/>
            <sz val="10"/>
            <color rgb="FF000000"/>
            <rFont val="Tahoma"/>
            <family val="2"/>
          </rPr>
          <t>Microsoft Office User: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This column will sum the values for each Row Name assigned to a specific granular data point</t>
        </r>
      </text>
    </comment>
  </commentList>
</comments>
</file>

<file path=xl/comments4.xml><?xml version="1.0" encoding="utf-8"?>
<comments xmlns="http://schemas.openxmlformats.org/spreadsheetml/2006/main">
  <authors>
    <author>Microsoft Office User</author>
  </authors>
  <commentList>
    <comment ref="E1" authorId="0" shapeId="0">
      <text>
        <r>
          <rPr>
            <b/>
            <sz val="10"/>
            <color rgb="FF000000"/>
            <rFont val="Tahoma"/>
            <family val="2"/>
          </rPr>
          <t>Microsoft Office User: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The value in this column is based on whether the item was added or subtracted in the formula
</t>
        </r>
      </text>
    </comment>
    <comment ref="F1" authorId="0" shapeId="0">
      <text>
        <r>
          <rPr>
            <b/>
            <sz val="10"/>
            <color rgb="FF000000"/>
            <rFont val="Tahoma"/>
            <family val="2"/>
          </rPr>
          <t>Microsoft Office User: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This column will search for the numeric value for a specific Row Name in a specific period within the Actuarial Data tab</t>
        </r>
      </text>
    </comment>
    <comment ref="G1" authorId="0" shapeId="0">
      <text>
        <r>
          <rPr>
            <b/>
            <sz val="10"/>
            <color rgb="FF000000"/>
            <rFont val="Tahoma"/>
            <family val="2"/>
          </rPr>
          <t>Microsoft Office User: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HINT: The purpose of this tab is to apply the appropriate sign to the value pulled from our Actuarial Data for each Row Name</t>
        </r>
      </text>
    </comment>
  </commentList>
</comments>
</file>

<file path=xl/comments5.xml><?xml version="1.0" encoding="utf-8"?>
<comments xmlns="http://schemas.openxmlformats.org/spreadsheetml/2006/main">
  <authors>
    <author>Microsoft Office User</author>
  </authors>
  <commentList>
    <comment ref="D1" authorId="0" shapeId="0">
      <text>
        <r>
          <rPr>
            <b/>
            <sz val="10"/>
            <color rgb="FF000000"/>
            <rFont val="Tahoma"/>
            <family val="2"/>
          </rPr>
          <t>Microsoft Office User: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The value in this column is based on whether the item was added or subtracted in the formula
</t>
        </r>
      </text>
    </comment>
    <comment ref="E1" authorId="0" shapeId="0">
      <text>
        <r>
          <rPr>
            <b/>
            <sz val="10"/>
            <color rgb="FF000000"/>
            <rFont val="Tahoma"/>
            <family val="2"/>
          </rPr>
          <t>Microsoft Office User: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This column will search for the numeric value for a specific Row Name in a specific period within the Actuarial Data tab</t>
        </r>
      </text>
    </comment>
    <comment ref="F1" authorId="0" shapeId="0">
      <text>
        <r>
          <rPr>
            <b/>
            <sz val="10"/>
            <color rgb="FF000000"/>
            <rFont val="Tahoma"/>
            <family val="2"/>
          </rPr>
          <t>Microsoft Office User: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HINT: The purpose of this tab is to apply the appropriate sign to the value pulled from our Actuarial Data for each Row Name</t>
        </r>
      </text>
    </comment>
  </commentList>
</comments>
</file>

<file path=xl/comments6.xml><?xml version="1.0" encoding="utf-8"?>
<comments xmlns="http://schemas.openxmlformats.org/spreadsheetml/2006/main">
  <authors>
    <author>Microsoft Office User</author>
  </authors>
  <commentList>
    <comment ref="A1" authorId="0" shapeId="0">
      <text>
        <r>
          <rPr>
            <b/>
            <sz val="10"/>
            <color rgb="FF000000"/>
            <rFont val="Tahoma"/>
            <family val="2"/>
          </rPr>
          <t>Microsoft Office User: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This is the naming convention assigned to an individual item as per the actuarial software</t>
        </r>
      </text>
    </comment>
    <comment ref="D1" authorId="0" shapeId="0">
      <text>
        <r>
          <rPr>
            <b/>
            <sz val="10"/>
            <color rgb="FF000000"/>
            <rFont val="Tahoma"/>
            <family val="2"/>
          </rPr>
          <t>Microsoft Office User: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A "formula" used to calculate the value of a specific item based on actuarial. E.g. [Prior Quarter].[Expenses] refer to total expenses reported during the previous quarter, i.e. total expenses as of December 31, 2022.</t>
        </r>
      </text>
    </comment>
  </commentList>
</comments>
</file>

<file path=xl/comments7.xml><?xml version="1.0" encoding="utf-8"?>
<comments xmlns="http://schemas.openxmlformats.org/spreadsheetml/2006/main">
  <authors>
    <author>Microsoft Office User</author>
  </authors>
  <commentList>
    <comment ref="A1" authorId="0" shapeId="0">
      <text>
        <r>
          <rPr>
            <b/>
            <sz val="10"/>
            <color rgb="FF000000"/>
            <rFont val="Tahoma"/>
            <family val="2"/>
          </rPr>
          <t>Microsoft Office User: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This is the naming convention assigned to an individual item as per the actuarial software</t>
        </r>
      </text>
    </comment>
    <comment ref="B1" authorId="0" shapeId="0">
      <text>
        <r>
          <rPr>
            <b/>
            <sz val="10"/>
            <color rgb="FF000000"/>
            <rFont val="Tahoma"/>
            <family val="2"/>
          </rPr>
          <t>Microsoft Office User: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Description of each datapoint</t>
        </r>
      </text>
    </comment>
    <comment ref="C1" authorId="0" shapeId="0">
      <text>
        <r>
          <rPr>
            <b/>
            <sz val="10"/>
            <color rgb="FF000000"/>
            <rFont val="Tahoma"/>
            <family val="2"/>
          </rPr>
          <t>Microsoft Office User: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A "formula" used to calculate the value of a specific item based on actuarial. E.g. [Prior Quarter].[Expenses] refer to total expenses reported during the previous quarter, i.e. total expenses as of December 31, 2022.</t>
        </r>
      </text>
    </comment>
  </commentList>
</comments>
</file>

<file path=xl/sharedStrings.xml><?xml version="1.0" encoding="utf-8"?>
<sst xmlns="http://schemas.openxmlformats.org/spreadsheetml/2006/main" count="351" uniqueCount="128">
  <si>
    <t>Data Point Name</t>
  </si>
  <si>
    <t>Formula</t>
  </si>
  <si>
    <t>GCL Variable Name</t>
  </si>
  <si>
    <t>Period</t>
  </si>
  <si>
    <t>Component</t>
  </si>
  <si>
    <t>Prior</t>
  </si>
  <si>
    <t>M0</t>
  </si>
  <si>
    <t>Q1</t>
  </si>
  <si>
    <t>Q2</t>
  </si>
  <si>
    <t>Q3</t>
  </si>
  <si>
    <t>Q4</t>
  </si>
  <si>
    <t>Current</t>
  </si>
  <si>
    <t>Formula Factor</t>
  </si>
  <si>
    <t>Aggregate Value</t>
  </si>
  <si>
    <t>Final Value</t>
  </si>
  <si>
    <t>Continuity Data Points</t>
  </si>
  <si>
    <t>CONT_GROUP_00</t>
  </si>
  <si>
    <t>CONT_GROUP_01</t>
  </si>
  <si>
    <t>CONT_GROUP_02</t>
  </si>
  <si>
    <t>Granular Continuity DataPoint</t>
  </si>
  <si>
    <t>Value</t>
  </si>
  <si>
    <t>Continuity Group</t>
  </si>
  <si>
    <t>Difference</t>
  </si>
  <si>
    <t>Continuity DataPoint</t>
  </si>
  <si>
    <t>Runs</t>
  </si>
  <si>
    <t>Granular Value</t>
  </si>
  <si>
    <t>CONT_GROUP_03</t>
  </si>
  <si>
    <t>Expenses - Advertising</t>
  </si>
  <si>
    <t>Expenses - Interest</t>
  </si>
  <si>
    <t>Expenses - Maintenance Repairs</t>
  </si>
  <si>
    <t>Expenses - Property &amp; Insurance</t>
  </si>
  <si>
    <t>Expenses - Office Supplies</t>
  </si>
  <si>
    <t>Expenses - Taxes</t>
  </si>
  <si>
    <t>Expenses - Wages</t>
  </si>
  <si>
    <t>Expenses - Other</t>
  </si>
  <si>
    <t>Compensation</t>
  </si>
  <si>
    <t>Expenses - Development</t>
  </si>
  <si>
    <t>Expected Claims</t>
  </si>
  <si>
    <t>Data Point</t>
  </si>
  <si>
    <t>Does Parent Datapoint = Granular Datapoint?</t>
  </si>
  <si>
    <t>[Current Quarter].[Expenses - Advertising]</t>
  </si>
  <si>
    <t>[Current Quarter].[Expenses - Interest]</t>
  </si>
  <si>
    <t>[Current Quarter].[Expenses - Maintenance Repairs]</t>
  </si>
  <si>
    <t>[Current Quarter].[Expenses - Office Supplies]</t>
  </si>
  <si>
    <t>[Current Quarter].[Expenses - Property &amp; Insurance]</t>
  </si>
  <si>
    <t>[Current Quarter].[Expenses - Taxes]</t>
  </si>
  <si>
    <t>[Current Quarter].[Expenses - Wages]</t>
  </si>
  <si>
    <t>[Current Quarter].[Expenses - Other]</t>
  </si>
  <si>
    <t>Total expenses at the start of the quarter</t>
  </si>
  <si>
    <t>Total expenses at the end of the quarter</t>
  </si>
  <si>
    <t xml:space="preserve">Portion of expenses due the advertising as at the end of the quarter </t>
  </si>
  <si>
    <t xml:space="preserve">Portion of expenses due the interest as at the end of the quarter </t>
  </si>
  <si>
    <t xml:space="preserve">Portion of expenses due the maintenance repairs as at the end of the quarter </t>
  </si>
  <si>
    <t xml:space="preserve">Portion of expenses due the office supplies as at the end of the quarter </t>
  </si>
  <si>
    <t xml:space="preserve">Portion of expenses due the property and insurance as at the end of the quarter </t>
  </si>
  <si>
    <t xml:space="preserve">Portion of expenses due the taxes as at the end of the quarter </t>
  </si>
  <si>
    <t xml:space="preserve">Portion of expenses due the wages as at the end of the quarter </t>
  </si>
  <si>
    <t xml:space="preserve">Portion of other expenses as at the end of the quarter </t>
  </si>
  <si>
    <t>TOTL_EXP_01</t>
  </si>
  <si>
    <t>TOTL_EXP_02</t>
  </si>
  <si>
    <t>EXP_A</t>
  </si>
  <si>
    <t>EXP_B</t>
  </si>
  <si>
    <t>EXP_C</t>
  </si>
  <si>
    <t>EXP_D</t>
  </si>
  <si>
    <t>EXP_E</t>
  </si>
  <si>
    <t>EXP_F</t>
  </si>
  <si>
    <t>EXP_G</t>
  </si>
  <si>
    <t>EXP_H</t>
  </si>
  <si>
    <t>EXP_I</t>
  </si>
  <si>
    <t>Change in expenses throughout the period</t>
  </si>
  <si>
    <t>EXP_CHNG</t>
  </si>
  <si>
    <t>Change in expenses throughout the quarter</t>
  </si>
  <si>
    <t>[Current Quarter].[Expenses - Development]</t>
  </si>
  <si>
    <t xml:space="preserve">Portion of expenses due the development as at the end of the quarter </t>
  </si>
  <si>
    <t>PV_Expenses</t>
  </si>
  <si>
    <t>Net_Expenses</t>
  </si>
  <si>
    <t>Summarizing Points</t>
  </si>
  <si>
    <t>Data Point Description</t>
  </si>
  <si>
    <t>Total Expenses</t>
  </si>
  <si>
    <t>[Prior Quarter].[Total Expenses]</t>
  </si>
  <si>
    <t>[Current Quarter].[Total Expenses]</t>
  </si>
  <si>
    <t>[Prior Quarter].[Total Expenses]-[Current Quarter].[Claims]+[Current Quarter].[Compensation]-[Current Quarter].[Total Expenses]</t>
  </si>
  <si>
    <t>[Prior Quarter].[Total Expenses]-[Current Quarter].[Expected Claims]+[Current Quarter].[Compensation]-[Current Quarter].[Total Expenses]</t>
  </si>
  <si>
    <t>CONCAT for Continuity Group</t>
  </si>
  <si>
    <t>Row Name (as provided in the actuarial software)</t>
  </si>
  <si>
    <t>Concatenation</t>
  </si>
  <si>
    <t>Row Name</t>
  </si>
  <si>
    <t>Primary Value</t>
  </si>
  <si>
    <t>TOTL_REV_01</t>
  </si>
  <si>
    <t>Total revenue at the start of the quarter</t>
  </si>
  <si>
    <t>[Prior Quarter].[Total Revenue]</t>
  </si>
  <si>
    <t>TOTL_REV_02</t>
  </si>
  <si>
    <t>Total revenue at the end of the quarter</t>
  </si>
  <si>
    <t>[Current Quarter].[Total Revenue]</t>
  </si>
  <si>
    <t>REV_A</t>
  </si>
  <si>
    <t xml:space="preserve">Portion of revenue due the premiums as at the end of the quarter </t>
  </si>
  <si>
    <t>[Current Quarter].[Revenue - Premiums]</t>
  </si>
  <si>
    <t>REV_B</t>
  </si>
  <si>
    <t xml:space="preserve">Portion of revenue due the commission as at the end of the quarter </t>
  </si>
  <si>
    <t>[Current Quarter].[Revenue - Commission]</t>
  </si>
  <si>
    <t>REV_C</t>
  </si>
  <si>
    <t xml:space="preserve">Portion of revenue due the investment earnings as at the end of the quarter </t>
  </si>
  <si>
    <t>[Current Quarter].[Revenue - Investment Earnings]</t>
  </si>
  <si>
    <t>REV_D</t>
  </si>
  <si>
    <t xml:space="preserve">Portion of revenue due the other as at the end of the quarter </t>
  </si>
  <si>
    <t>[Current Quarter].[Revenue - Other]</t>
  </si>
  <si>
    <t>NET_INCOME_01</t>
  </si>
  <si>
    <t>Net income at the start of the quarter</t>
  </si>
  <si>
    <t>[Prior Quarter].[Total Revenue]-[Prior Quarter].[Total Expenses]</t>
  </si>
  <si>
    <t>NET_INCOME_02</t>
  </si>
  <si>
    <t>Net income at the end of the quarter</t>
  </si>
  <si>
    <t>[Current Quarter].[Total Revenue]-[Current Quarter].[Total Expenses]</t>
  </si>
  <si>
    <t>PV_Revenue</t>
  </si>
  <si>
    <t>Total Revenue</t>
  </si>
  <si>
    <t>Net_Income</t>
  </si>
  <si>
    <t>Priod</t>
  </si>
  <si>
    <t>[Prior Quarter].[Net Income]</t>
  </si>
  <si>
    <t>Net Income</t>
  </si>
  <si>
    <t>[Current Quarter].[Net Income]</t>
  </si>
  <si>
    <t>Revenue - Premiums</t>
  </si>
  <si>
    <t>Revenue - Commission</t>
  </si>
  <si>
    <t>Revenue - Investment Earnings</t>
  </si>
  <si>
    <t>Revenue - Other</t>
  </si>
  <si>
    <t>CONT_GROUP_04</t>
  </si>
  <si>
    <t>CONT_GROUP_05</t>
  </si>
  <si>
    <t>CONT_GROUP_06</t>
  </si>
  <si>
    <t>CONT_GROUP_07</t>
  </si>
  <si>
    <t>CONT_GROUP_08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</si>
</sst>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 * #,##0.00_ ;_ * \-#,##0.00_ ;_ * &quot;-&quot;??_ ;_ @_ "/>
    <numFmt numFmtId="164" formatCode="_(* #,##0.00_);_(* \(#,##0.00\);_(* &quot;-&quot;??_);_(@_)"/>
  </numFmts>
  <fonts count="6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rgb="FF000000"/>
      <name val="Tahoma"/>
      <family val="2"/>
    </font>
    <font>
      <b/>
      <sz val="10"/>
      <color rgb="FF000000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7">
    <xf numFmtId="0" fontId="0" fillId="0" borderId="0" xfId="0"/>
    <xf numFmtId="164" fontId="0" fillId="0" borderId="0" xfId="1" applyFont="1"/>
    <xf numFmtId="0" fontId="2" fillId="2" borderId="1" xfId="0" applyFont="1" applyFill="1" applyBorder="1"/>
    <xf numFmtId="0" fontId="0" fillId="0" borderId="1" xfId="0" applyBorder="1"/>
    <xf numFmtId="0" fontId="0" fillId="0" borderId="1" xfId="0" quotePrefix="1" applyBorder="1"/>
    <xf numFmtId="164" fontId="0" fillId="0" borderId="1" xfId="1" applyFont="1" applyBorder="1"/>
    <xf numFmtId="164" fontId="0" fillId="0" borderId="0" xfId="0" applyNumberFormat="1"/>
    <xf numFmtId="164" fontId="2" fillId="2" borderId="1" xfId="1" applyFont="1" applyFill="1" applyBorder="1"/>
    <xf numFmtId="0" fontId="0" fillId="0" borderId="1" xfId="0" quotePrefix="1" applyBorder="1" applyAlignment="1">
      <alignment wrapText="1"/>
    </xf>
    <xf numFmtId="164" fontId="0" fillId="0" borderId="1" xfId="1" applyFont="1" applyFill="1" applyBorder="1"/>
    <xf numFmtId="0" fontId="0" fillId="0" borderId="2" xfId="0" applyBorder="1"/>
    <xf numFmtId="0" fontId="2" fillId="0" borderId="0" xfId="0" applyFont="1"/>
    <xf numFmtId="0" fontId="0" fillId="0" borderId="1" xfId="1" applyNumberFormat="1" applyFont="1" applyFill="1" applyBorder="1"/>
    <xf numFmtId="43" fontId="0" fillId="0" borderId="1" xfId="1" applyNumberFormat="1" applyFont="1" applyFill="1" applyBorder="1"/>
    <xf numFmtId="0" fontId="0" fillId="0" borderId="1" xfId="0" applyBorder="1" applyAlignment="1">
      <alignment wrapText="1"/>
    </xf>
    <xf numFmtId="164" fontId="0" fillId="0" borderId="1" xfId="0" applyNumberFormat="1" applyBorder="1"/>
    <xf numFmtId="43" fontId="0" fillId="0" borderId="1" xfId="1" applyNumberFormat="1" applyFont="1" applyBorder="1"/>
  </cellXfs>
  <cellStyles count="2">
    <cellStyle name="Comma" xfId="1" builtinId="3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7030A0"/>
  </sheetPr>
  <dimension ref="A1:E21"/>
  <sheetViews>
    <sheetView tabSelected="1" zoomScale="130" zoomScaleNormal="130" workbookViewId="0">
      <selection activeCell="D10" sqref="D10"/>
    </sheetView>
  </sheetViews>
  <sheetFormatPr defaultColWidth="11.19921875" defaultRowHeight="15.6" x14ac:dyDescent="0.3"/>
  <cols>
    <col min="1" max="1" width="19.796875" customWidth="1"/>
    <col min="2" max="2" width="14.69921875" bestFit="1" customWidth="1"/>
    <col min="3" max="3" width="15.69921875" customWidth="1"/>
    <col min="4" max="4" width="41.5" bestFit="1" customWidth="1"/>
    <col min="5" max="5" width="17.69921875" customWidth="1"/>
  </cols>
  <sheetData>
    <row r="1" spans="1:5" x14ac:dyDescent="0.3">
      <c r="A1" s="2" t="s">
        <v>21</v>
      </c>
      <c r="B1" s="2" t="s">
        <v>87</v>
      </c>
      <c r="C1" s="2" t="s">
        <v>25</v>
      </c>
      <c r="D1" s="2" t="s">
        <v>39</v>
      </c>
      <c r="E1" s="2" t="s">
        <v>22</v>
      </c>
    </row>
    <row r="2" spans="1:5" x14ac:dyDescent="0.3">
      <c r="A2" s="3" t="s">
        <v>16</v>
      </c>
      <c r="B2" s="9">
        <f>SUMIFS('Continuity Group for Primary'!E:E,'Continuity Group for Primary'!A:A,'Continuity Group'!A2)</f>
        <v>58500000</v>
      </c>
      <c r="C2" s="9">
        <f>SUMIFS('Continuity Group for Granular'!C:C,'Continuity Group for Granular'!A:A,'Continuity Group'!A2)</f>
        <v>58500000</v>
      </c>
      <c r="D2" s="3" t="b">
        <f>B2=C2</f>
        <v>1</v>
      </c>
      <c r="E2" s="16">
        <f>B2-C2</f>
        <v>0</v>
      </c>
    </row>
    <row r="3" spans="1:5" x14ac:dyDescent="0.3">
      <c r="A3" s="3" t="s">
        <v>17</v>
      </c>
      <c r="B3" s="9">
        <f>SUMIFS('Continuity Group for Primary'!E:E,'Continuity Group for Primary'!A:A,'Continuity Group'!A3)</f>
        <v>50250000</v>
      </c>
      <c r="C3" s="9">
        <f>SUMIFS('Continuity Group for Granular'!C:C,'Continuity Group for Granular'!A:A,'Continuity Group'!A3)</f>
        <v>50250000</v>
      </c>
      <c r="D3" s="3" t="b">
        <f t="shared" ref="D3:D10" si="0">B3=C3</f>
        <v>1</v>
      </c>
      <c r="E3" s="16">
        <f t="shared" ref="E3:E10" si="1">B3-C3</f>
        <v>0</v>
      </c>
    </row>
    <row r="4" spans="1:5" x14ac:dyDescent="0.3">
      <c r="A4" s="3" t="s">
        <v>18</v>
      </c>
      <c r="B4" s="9">
        <f>SUMIFS('Continuity Group for Primary'!E:E,'Continuity Group for Primary'!A:A,'Continuity Group'!A4)</f>
        <v>50250000</v>
      </c>
      <c r="C4" s="9">
        <f>SUMIFS('Continuity Group for Granular'!C:C,'Continuity Group for Granular'!A:A,'Continuity Group'!A4)</f>
        <v>50250000</v>
      </c>
      <c r="D4" s="3" t="b">
        <f t="shared" si="0"/>
        <v>1</v>
      </c>
      <c r="E4" s="16">
        <f t="shared" si="1"/>
        <v>0</v>
      </c>
    </row>
    <row r="5" spans="1:5" x14ac:dyDescent="0.3">
      <c r="A5" s="3" t="s">
        <v>26</v>
      </c>
      <c r="B5" s="9">
        <f>SUMIFS('Continuity Group for Primary'!E:E,'Continuity Group for Primary'!A:A,'Continuity Group'!A5)</f>
        <v>6500000</v>
      </c>
      <c r="C5" s="9">
        <f>SUMIFS('Continuity Group for Granular'!C:C,'Continuity Group for Granular'!A:A,'Continuity Group'!A5)</f>
        <v>6500000</v>
      </c>
      <c r="D5" s="3" t="b">
        <f t="shared" si="0"/>
        <v>1</v>
      </c>
      <c r="E5" s="16">
        <f t="shared" si="1"/>
        <v>0</v>
      </c>
    </row>
    <row r="6" spans="1:5" x14ac:dyDescent="0.3">
      <c r="A6" s="3" t="s">
        <v>123</v>
      </c>
      <c r="B6" s="9">
        <f>SUMIFS('Continuity Group for Primary'!E:E,'Continuity Group for Primary'!A:A,'Continuity Group'!A6)</f>
        <v>62050000</v>
      </c>
      <c r="C6" s="9">
        <f>SUMIFS('Continuity Group for Granular'!C:C,'Continuity Group for Granular'!A:A,'Continuity Group'!A6)</f>
        <v>62050000</v>
      </c>
      <c r="D6" s="3" t="b">
        <f t="shared" si="0"/>
        <v>1</v>
      </c>
      <c r="E6" s="16">
        <f t="shared" si="1"/>
        <v>0</v>
      </c>
    </row>
    <row r="7" spans="1:5" x14ac:dyDescent="0.3">
      <c r="A7" s="3" t="s">
        <v>124</v>
      </c>
      <c r="B7" s="9">
        <f>SUMIFS('Continuity Group for Primary'!E:E,'Continuity Group for Primary'!A:A,'Continuity Group'!A7)</f>
        <v>57120000</v>
      </c>
      <c r="C7" s="9">
        <f>SUMIFS('Continuity Group for Granular'!C:C,'Continuity Group for Granular'!A:A,'Continuity Group'!A7)</f>
        <v>57120000</v>
      </c>
      <c r="D7" s="3" t="b">
        <f t="shared" si="0"/>
        <v>1</v>
      </c>
      <c r="E7" s="16">
        <f t="shared" si="1"/>
        <v>0</v>
      </c>
    </row>
    <row r="8" spans="1:5" x14ac:dyDescent="0.3">
      <c r="A8" s="3" t="s">
        <v>125</v>
      </c>
      <c r="B8" s="9">
        <f>SUMIFS('Continuity Group for Primary'!E:E,'Continuity Group for Primary'!A:A,'Continuity Group'!A8)</f>
        <v>57120000</v>
      </c>
      <c r="C8" s="9">
        <f>SUMIFS('Continuity Group for Granular'!C:C,'Continuity Group for Granular'!A:A,'Continuity Group'!A8)</f>
        <v>57120000</v>
      </c>
      <c r="D8" s="3" t="b">
        <f t="shared" si="0"/>
        <v>1</v>
      </c>
      <c r="E8" s="16">
        <f t="shared" si="1"/>
        <v>0</v>
      </c>
    </row>
    <row r="9" spans="1:5" x14ac:dyDescent="0.3">
      <c r="A9" s="3" t="s">
        <v>126</v>
      </c>
      <c r="B9" s="9">
        <f>SUMIFS('Continuity Group for Primary'!E:E,'Continuity Group for Primary'!A:A,'Continuity Group'!A9)</f>
        <v>3550000</v>
      </c>
      <c r="C9" s="9">
        <f>SUMIFS('Continuity Group for Granular'!C:C,'Continuity Group for Granular'!A:A,'Continuity Group'!A9)</f>
        <v>3550000</v>
      </c>
      <c r="D9" s="3" t="b">
        <f t="shared" si="0"/>
        <v>1</v>
      </c>
      <c r="E9" s="16">
        <f t="shared" si="1"/>
        <v>0</v>
      </c>
    </row>
    <row r="10" spans="1:5" x14ac:dyDescent="0.3">
      <c r="A10" s="3" t="s">
        <v>127</v>
      </c>
      <c r="B10" s="9">
        <f>SUMIFS('Continuity Group for Primary'!E:E,'Continuity Group for Primary'!A:A,'Continuity Group'!A10)</f>
        <v>6870000</v>
      </c>
      <c r="C10" s="9">
        <f>SUMIFS('Continuity Group for Granular'!C:C,'Continuity Group for Granular'!A:A,'Continuity Group'!A10)</f>
        <v>6870000</v>
      </c>
      <c r="D10" s="3" t="b">
        <f t="shared" si="0"/>
        <v>1</v>
      </c>
      <c r="E10" s="16">
        <f t="shared" si="1"/>
        <v>0</v>
      </c>
    </row>
    <row r="12" spans="1:5" x14ac:dyDescent="0.3">
      <c r="A12" s="11" t="s">
        <v>76</v>
      </c>
    </row>
    <row r="13" spans="1:5" x14ac:dyDescent="0.3">
      <c r="A13" t="str">
        <f xml:space="preserve"> "- For the reporting period January 1, 2023 to March 31, 2023, Continuity Group 00 had a final reconciliation value of "&amp; VLOOKUP(A2,A1:E10,2,0)</f>
        <v>- For the reporting period January 1, 2023 to March 31, 2023, Continuity Group 00 had a final reconciliation value of 58500000</v>
      </c>
    </row>
    <row r="14" spans="1:5" x14ac:dyDescent="0.3">
      <c r="A14" t="str">
        <f xml:space="preserve"> "- For the reporting period January 1, 2023 to March 31, 2023, Continuity Group 01 had a final reconciliation value of "&amp; VLOOKUP(A3,A2:E11,2,0)</f>
        <v>- For the reporting period January 1, 2023 to March 31, 2023, Continuity Group 01 had a final reconciliation value of 50250000</v>
      </c>
    </row>
    <row r="15" spans="1:5" x14ac:dyDescent="0.3">
      <c r="A15" t="str">
        <f xml:space="preserve"> "- For the reporting period January 1, 2023 to March 31, 2023, Continuity Group 02 had a final reconciliation value of "&amp; VLOOKUP(A4,A3:E12,2,0)</f>
        <v>- For the reporting period January 1, 2023 to March 31, 2023, Continuity Group 02 had a final reconciliation value of 50250000</v>
      </c>
    </row>
    <row r="16" spans="1:5" x14ac:dyDescent="0.3">
      <c r="A16" t="str">
        <f xml:space="preserve"> "- For the reporting period January 1, 2023 to March 31, 2023, Continuity Group 03 had a final reconciliation value of "&amp; VLOOKUP(A5,A4:E13,2,0)</f>
        <v>- For the reporting period January 1, 2023 to March 31, 2023, Continuity Group 03 had a final reconciliation value of 6500000</v>
      </c>
    </row>
    <row r="17" spans="1:1" x14ac:dyDescent="0.3">
      <c r="A17" t="str">
        <f xml:space="preserve"> "- For the reporting period January 1, 2023 to March 31, 2023, Continuity Group 04 had a final reconciliation value of "&amp; VLOOKUP(A6,A5:E14,2,0)</f>
        <v>- For the reporting period January 1, 2023 to March 31, 2023, Continuity Group 04 had a final reconciliation value of 62050000</v>
      </c>
    </row>
    <row r="18" spans="1:1" x14ac:dyDescent="0.3">
      <c r="A18" t="str">
        <f xml:space="preserve"> "- For the reporting period January 1, 2023 to March 31, 2023, Continuity Group 05 had a final reconciliation value of "&amp; VLOOKUP(A7,A6:E15,2,0)</f>
        <v>- For the reporting period January 1, 2023 to March 31, 2023, Continuity Group 05 had a final reconciliation value of 57120000</v>
      </c>
    </row>
    <row r="19" spans="1:1" x14ac:dyDescent="0.3">
      <c r="A19" t="str">
        <f xml:space="preserve"> "- For the reporting period January 1, 2023 to March 31, 2023, Continuity Group 06 had a final reconciliation value of "&amp; VLOOKUP(A8,A7:E16,2,0)</f>
        <v>- For the reporting period January 1, 2023 to March 31, 2023, Continuity Group 06 had a final reconciliation value of 57120000</v>
      </c>
    </row>
    <row r="20" spans="1:1" x14ac:dyDescent="0.3">
      <c r="A20" t="str">
        <f xml:space="preserve"> "- For the reporting period January 1, 2023 to March 31, 2023, Continuity Group 07 had a final reconciliation value of "&amp; VLOOKUP(A9,A8:E17,2,0)</f>
        <v>- For the reporting period January 1, 2023 to March 31, 2023, Continuity Group 07 had a final reconciliation value of 3550000</v>
      </c>
    </row>
    <row r="21" spans="1:1" x14ac:dyDescent="0.3">
      <c r="A21" t="str">
        <f xml:space="preserve"> "- For the reporting period January 1, 2023 to March 31, 2023, Continuity Group 08 had a final reconciliation value of "&amp; VLOOKUP(A10,A9:E18,2,0)</f>
        <v>- For the reporting period January 1, 2023 to March 31, 2023, Continuity Group 08 had a final reconciliation value of 6870000</v>
      </c>
    </row>
  </sheetData>
  <phoneticPr fontId="3" type="noConversion"/>
  <conditionalFormatting sqref="D2:D10">
    <cfRule type="cellIs" dxfId="2" priority="3" operator="equal">
      <formula>$B$2=$C$2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9" tint="-0.249977111117893"/>
  </sheetPr>
  <dimension ref="A1:E11"/>
  <sheetViews>
    <sheetView zoomScale="110" zoomScaleNormal="110" workbookViewId="0">
      <selection activeCell="E2" sqref="E2:E11"/>
    </sheetView>
  </sheetViews>
  <sheetFormatPr defaultColWidth="11.19921875" defaultRowHeight="15.6" x14ac:dyDescent="0.3"/>
  <cols>
    <col min="1" max="1" width="18" bestFit="1" customWidth="1"/>
    <col min="2" max="2" width="24" bestFit="1" customWidth="1"/>
    <col min="3" max="3" width="7.296875" bestFit="1" customWidth="1"/>
    <col min="4" max="4" width="25.5" customWidth="1"/>
    <col min="5" max="5" width="22" customWidth="1"/>
  </cols>
  <sheetData>
    <row r="1" spans="1:5" x14ac:dyDescent="0.3">
      <c r="A1" s="2" t="s">
        <v>23</v>
      </c>
      <c r="B1" s="2" t="s">
        <v>2</v>
      </c>
      <c r="C1" s="2" t="s">
        <v>24</v>
      </c>
      <c r="D1" s="2" t="s">
        <v>85</v>
      </c>
      <c r="E1" s="2" t="s">
        <v>20</v>
      </c>
    </row>
    <row r="2" spans="1:5" x14ac:dyDescent="0.3">
      <c r="A2" s="3" t="s">
        <v>16</v>
      </c>
      <c r="B2" s="3" t="s">
        <v>74</v>
      </c>
      <c r="C2" s="3" t="s">
        <v>5</v>
      </c>
      <c r="D2" s="3" t="str">
        <f>B2&amp;C2</f>
        <v>PV_ExpensesPrior</v>
      </c>
      <c r="E2" s="9">
        <f>SUMIFS('Primary Values'!G:G,'Primary Values'!D:D,'Continuity Group for Primary'!D2)</f>
        <v>58500000</v>
      </c>
    </row>
    <row r="3" spans="1:5" x14ac:dyDescent="0.3">
      <c r="A3" s="3" t="s">
        <v>17</v>
      </c>
      <c r="B3" s="3" t="s">
        <v>74</v>
      </c>
      <c r="C3" s="3" t="s">
        <v>11</v>
      </c>
      <c r="D3" s="3" t="str">
        <f>B3&amp;C3</f>
        <v>PV_ExpensesCurrent</v>
      </c>
      <c r="E3" s="9">
        <f>SUMIFS('Primary Values'!G:G,'Primary Values'!D:D,'Continuity Group for Primary'!D3)</f>
        <v>50250000</v>
      </c>
    </row>
    <row r="4" spans="1:5" x14ac:dyDescent="0.3">
      <c r="A4" s="3" t="s">
        <v>18</v>
      </c>
      <c r="B4" s="3" t="s">
        <v>74</v>
      </c>
      <c r="C4" s="3" t="s">
        <v>11</v>
      </c>
      <c r="D4" s="3" t="str">
        <f>B4&amp;C4</f>
        <v>PV_ExpensesCurrent</v>
      </c>
      <c r="E4" s="9">
        <f>SUMIFS('Primary Values'!G:G,'Primary Values'!D:D,'Continuity Group for Primary'!D4)</f>
        <v>50250000</v>
      </c>
    </row>
    <row r="5" spans="1:5" x14ac:dyDescent="0.3">
      <c r="A5" s="3" t="s">
        <v>26</v>
      </c>
      <c r="B5" s="3" t="s">
        <v>75</v>
      </c>
      <c r="C5" s="3" t="s">
        <v>5</v>
      </c>
      <c r="D5" s="3" t="str">
        <f t="shared" ref="D5:D11" si="0">B5&amp;C5</f>
        <v>Net_ExpensesPrior</v>
      </c>
      <c r="E5" s="9">
        <f>SUMIFS('Primary Values'!G:G,'Primary Values'!D:D,'Continuity Group for Primary'!D5)</f>
        <v>58500000</v>
      </c>
    </row>
    <row r="6" spans="1:5" x14ac:dyDescent="0.3">
      <c r="A6" s="3" t="s">
        <v>26</v>
      </c>
      <c r="B6" s="3" t="s">
        <v>75</v>
      </c>
      <c r="C6" s="3" t="s">
        <v>11</v>
      </c>
      <c r="D6" s="3" t="str">
        <f t="shared" si="0"/>
        <v>Net_ExpensesCurrent</v>
      </c>
      <c r="E6" s="9">
        <f>SUMIFS('Primary Values'!G:G,'Primary Values'!D:D,'Continuity Group for Primary'!D6)</f>
        <v>-52000000</v>
      </c>
    </row>
    <row r="7" spans="1:5" x14ac:dyDescent="0.3">
      <c r="A7" s="3" t="s">
        <v>123</v>
      </c>
      <c r="B7" s="3" t="s">
        <v>112</v>
      </c>
      <c r="C7" s="3" t="s">
        <v>5</v>
      </c>
      <c r="D7" s="3" t="str">
        <f t="shared" si="0"/>
        <v>PV_RevenuePrior</v>
      </c>
      <c r="E7" s="9">
        <f>SUMIFS('Primary Values'!G:G,'Primary Values'!D:D,'Continuity Group for Primary'!D7)</f>
        <v>62050000</v>
      </c>
    </row>
    <row r="8" spans="1:5" x14ac:dyDescent="0.3">
      <c r="A8" s="3" t="s">
        <v>124</v>
      </c>
      <c r="B8" s="3" t="s">
        <v>112</v>
      </c>
      <c r="C8" s="3" t="s">
        <v>11</v>
      </c>
      <c r="D8" s="3" t="str">
        <f t="shared" si="0"/>
        <v>PV_RevenueCurrent</v>
      </c>
      <c r="E8" s="9">
        <f>SUMIFS('Primary Values'!G:G,'Primary Values'!D:D,'Continuity Group for Primary'!D8)</f>
        <v>57120000</v>
      </c>
    </row>
    <row r="9" spans="1:5" x14ac:dyDescent="0.3">
      <c r="A9" s="3" t="s">
        <v>125</v>
      </c>
      <c r="B9" s="3" t="s">
        <v>112</v>
      </c>
      <c r="C9" s="3" t="s">
        <v>11</v>
      </c>
      <c r="D9" s="3" t="str">
        <f t="shared" si="0"/>
        <v>PV_RevenueCurrent</v>
      </c>
      <c r="E9" s="9">
        <f>SUMIFS('Primary Values'!G:G,'Primary Values'!D:D,'Continuity Group for Primary'!D9)</f>
        <v>57120000</v>
      </c>
    </row>
    <row r="10" spans="1:5" x14ac:dyDescent="0.3">
      <c r="A10" s="3" t="s">
        <v>126</v>
      </c>
      <c r="B10" s="3" t="s">
        <v>114</v>
      </c>
      <c r="C10" s="3" t="s">
        <v>5</v>
      </c>
      <c r="D10" s="3" t="str">
        <f t="shared" si="0"/>
        <v>Net_IncomePrior</v>
      </c>
      <c r="E10" s="9">
        <f>SUMIFS('Primary Values'!G:G,'Primary Values'!D:D,'Continuity Group for Primary'!D10)</f>
        <v>3550000</v>
      </c>
    </row>
    <row r="11" spans="1:5" x14ac:dyDescent="0.3">
      <c r="A11" s="3" t="s">
        <v>127</v>
      </c>
      <c r="B11" s="3" t="s">
        <v>114</v>
      </c>
      <c r="C11" s="3" t="s">
        <v>11</v>
      </c>
      <c r="D11" s="3" t="str">
        <f t="shared" si="0"/>
        <v>Net_IncomeCurrent</v>
      </c>
      <c r="E11" s="9">
        <f>SUMIFS('Primary Values'!G:G,'Primary Values'!D:D,'Continuity Group for Primary'!D11)</f>
        <v>6870000</v>
      </c>
    </row>
  </sheetData>
  <phoneticPr fontId="3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9" tint="-0.249977111117893"/>
  </sheetPr>
  <dimension ref="A1:C21"/>
  <sheetViews>
    <sheetView workbookViewId="0">
      <selection activeCell="C2" sqref="C2:C21"/>
    </sheetView>
  </sheetViews>
  <sheetFormatPr defaultColWidth="11.19921875" defaultRowHeight="15.6" x14ac:dyDescent="0.3"/>
  <cols>
    <col min="1" max="1" width="22.19921875" customWidth="1"/>
    <col min="2" max="2" width="28.796875" customWidth="1"/>
    <col min="3" max="3" width="19" customWidth="1"/>
  </cols>
  <sheetData>
    <row r="1" spans="1:3" x14ac:dyDescent="0.3">
      <c r="A1" s="2" t="s">
        <v>15</v>
      </c>
      <c r="B1" s="2" t="s">
        <v>19</v>
      </c>
      <c r="C1" s="2" t="s">
        <v>20</v>
      </c>
    </row>
    <row r="2" spans="1:3" x14ac:dyDescent="0.3">
      <c r="A2" s="3" t="s">
        <v>16</v>
      </c>
      <c r="B2" s="3" t="s">
        <v>58</v>
      </c>
      <c r="C2" s="9">
        <f>SUMIFS('Granular Values'!F:F,'Granular Values'!A:A,'Continuity Group for Granular'!B2)</f>
        <v>58500000</v>
      </c>
    </row>
    <row r="3" spans="1:3" x14ac:dyDescent="0.3">
      <c r="A3" s="3" t="s">
        <v>17</v>
      </c>
      <c r="B3" s="3" t="s">
        <v>60</v>
      </c>
      <c r="C3" s="9">
        <f>SUMIFS('Granular Values'!F:F,'Granular Values'!A:A,'Continuity Group for Granular'!B3)</f>
        <v>4325000</v>
      </c>
    </row>
    <row r="4" spans="1:3" x14ac:dyDescent="0.3">
      <c r="A4" s="3" t="s">
        <v>17</v>
      </c>
      <c r="B4" s="3" t="s">
        <v>61</v>
      </c>
      <c r="C4" s="9">
        <f>SUMIFS('Granular Values'!F:F,'Granular Values'!A:A,'Continuity Group for Granular'!B4)</f>
        <v>6112500</v>
      </c>
    </row>
    <row r="5" spans="1:3" x14ac:dyDescent="0.3">
      <c r="A5" s="3" t="s">
        <v>17</v>
      </c>
      <c r="B5" s="3" t="s">
        <v>62</v>
      </c>
      <c r="C5" s="9">
        <f>SUMIFS('Granular Values'!F:F,'Granular Values'!A:A,'Continuity Group for Granular'!B5)</f>
        <v>400000</v>
      </c>
    </row>
    <row r="6" spans="1:3" x14ac:dyDescent="0.3">
      <c r="A6" s="3" t="s">
        <v>17</v>
      </c>
      <c r="B6" s="3" t="s">
        <v>63</v>
      </c>
      <c r="C6" s="9">
        <f>SUMIFS('Granular Values'!F:F,'Granular Values'!A:A,'Continuity Group for Granular'!B6)</f>
        <v>1250000</v>
      </c>
    </row>
    <row r="7" spans="1:3" x14ac:dyDescent="0.3">
      <c r="A7" s="3" t="s">
        <v>17</v>
      </c>
      <c r="B7" s="3" t="s">
        <v>64</v>
      </c>
      <c r="C7" s="9">
        <f>SUMIFS('Granular Values'!F:F,'Granular Values'!A:A,'Continuity Group for Granular'!B7)</f>
        <v>500000</v>
      </c>
    </row>
    <row r="8" spans="1:3" x14ac:dyDescent="0.3">
      <c r="A8" s="3" t="s">
        <v>17</v>
      </c>
      <c r="B8" s="3" t="s">
        <v>65</v>
      </c>
      <c r="C8" s="9">
        <f>SUMIFS('Granular Values'!F:F,'Granular Values'!A:A,'Continuity Group for Granular'!B8)</f>
        <v>5025000</v>
      </c>
    </row>
    <row r="9" spans="1:3" x14ac:dyDescent="0.3">
      <c r="A9" s="3" t="s">
        <v>17</v>
      </c>
      <c r="B9" s="3" t="s">
        <v>66</v>
      </c>
      <c r="C9" s="9">
        <f>SUMIFS('Granular Values'!F:F,'Granular Values'!A:A,'Continuity Group for Granular'!B9)</f>
        <v>7537500</v>
      </c>
    </row>
    <row r="10" spans="1:3" x14ac:dyDescent="0.3">
      <c r="A10" s="3" t="s">
        <v>17</v>
      </c>
      <c r="B10" s="3" t="s">
        <v>67</v>
      </c>
      <c r="C10" s="9">
        <f>SUMIFS('Granular Values'!F:F,'Granular Values'!A:A,'Continuity Group for Granular'!B10)</f>
        <v>21075000</v>
      </c>
    </row>
    <row r="11" spans="1:3" x14ac:dyDescent="0.3">
      <c r="A11" s="3" t="s">
        <v>17</v>
      </c>
      <c r="B11" s="3" t="s">
        <v>68</v>
      </c>
      <c r="C11" s="9">
        <f>SUMIFS('Granular Values'!F:F,'Granular Values'!A:A,'Continuity Group for Granular'!B11)</f>
        <v>4025000</v>
      </c>
    </row>
    <row r="12" spans="1:3" x14ac:dyDescent="0.3">
      <c r="A12" s="3" t="s">
        <v>18</v>
      </c>
      <c r="B12" s="3" t="s">
        <v>59</v>
      </c>
      <c r="C12" s="9">
        <f>SUMIFS('Granular Values'!F:F,'Granular Values'!A:A,'Continuity Group for Granular'!B12)</f>
        <v>50250000</v>
      </c>
    </row>
    <row r="13" spans="1:3" x14ac:dyDescent="0.3">
      <c r="A13" s="3" t="s">
        <v>26</v>
      </c>
      <c r="B13" s="3" t="s">
        <v>70</v>
      </c>
      <c r="C13" s="9">
        <f>SUMIFS('Granular Values'!F:F,'Granular Values'!A:A,'Continuity Group for Granular'!B13)</f>
        <v>6500000</v>
      </c>
    </row>
    <row r="14" spans="1:3" x14ac:dyDescent="0.3">
      <c r="A14" s="3" t="s">
        <v>123</v>
      </c>
      <c r="B14" s="3" t="s">
        <v>88</v>
      </c>
      <c r="C14" s="9">
        <f>SUMIFS('Granular Values'!F:F,'Granular Values'!A:A,'Continuity Group for Granular'!B14)</f>
        <v>62050000</v>
      </c>
    </row>
    <row r="15" spans="1:3" x14ac:dyDescent="0.3">
      <c r="A15" s="3" t="s">
        <v>124</v>
      </c>
      <c r="B15" s="3" t="s">
        <v>94</v>
      </c>
      <c r="C15" s="9">
        <f>SUMIFS('Granular Values'!F:F,'Granular Values'!A:A,'Continuity Group for Granular'!B15)</f>
        <v>28500000</v>
      </c>
    </row>
    <row r="16" spans="1:3" x14ac:dyDescent="0.3">
      <c r="A16" s="3" t="s">
        <v>124</v>
      </c>
      <c r="B16" s="3" t="s">
        <v>97</v>
      </c>
      <c r="C16" s="9">
        <f>SUMIFS('Granular Values'!F:F,'Granular Values'!A:A,'Continuity Group for Granular'!B16)</f>
        <v>9500000</v>
      </c>
    </row>
    <row r="17" spans="1:3" x14ac:dyDescent="0.3">
      <c r="A17" s="3" t="s">
        <v>124</v>
      </c>
      <c r="B17" s="3" t="s">
        <v>100</v>
      </c>
      <c r="C17" s="9">
        <f>SUMIFS('Granular Values'!F:F,'Granular Values'!A:A,'Continuity Group for Granular'!B17)</f>
        <v>16920000</v>
      </c>
    </row>
    <row r="18" spans="1:3" x14ac:dyDescent="0.3">
      <c r="A18" s="3" t="s">
        <v>124</v>
      </c>
      <c r="B18" s="3" t="s">
        <v>103</v>
      </c>
      <c r="C18" s="9">
        <f>SUMIFS('Granular Values'!F:F,'Granular Values'!A:A,'Continuity Group for Granular'!B18)</f>
        <v>2200000</v>
      </c>
    </row>
    <row r="19" spans="1:3" x14ac:dyDescent="0.3">
      <c r="A19" s="3" t="s">
        <v>125</v>
      </c>
      <c r="B19" s="3" t="s">
        <v>91</v>
      </c>
      <c r="C19" s="9">
        <f>SUMIFS('Granular Values'!F:F,'Granular Values'!A:A,'Continuity Group for Granular'!B19)</f>
        <v>57120000</v>
      </c>
    </row>
    <row r="20" spans="1:3" x14ac:dyDescent="0.3">
      <c r="A20" s="3" t="s">
        <v>126</v>
      </c>
      <c r="B20" s="3" t="s">
        <v>106</v>
      </c>
      <c r="C20" s="9">
        <f>SUMIFS('Granular Values'!F:F,'Granular Values'!A:A,'Continuity Group for Granular'!B20)</f>
        <v>3550000</v>
      </c>
    </row>
    <row r="21" spans="1:3" x14ac:dyDescent="0.3">
      <c r="A21" s="3" t="s">
        <v>127</v>
      </c>
      <c r="B21" s="3" t="s">
        <v>109</v>
      </c>
      <c r="C21" s="9">
        <f>SUMIFS('Granular Values'!F:F,'Granular Values'!A:A,'Continuity Group for Granular'!B21)</f>
        <v>6870000</v>
      </c>
    </row>
  </sheetData>
  <phoneticPr fontId="3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8" tint="0.59999389629810485"/>
  </sheetPr>
  <dimension ref="A1:G11"/>
  <sheetViews>
    <sheetView workbookViewId="0">
      <selection activeCell="G13" sqref="G13"/>
    </sheetView>
  </sheetViews>
  <sheetFormatPr defaultColWidth="11.19921875" defaultRowHeight="15.6" x14ac:dyDescent="0.3"/>
  <cols>
    <col min="1" max="1" width="24" bestFit="1" customWidth="1"/>
    <col min="2" max="2" width="7.19921875" bestFit="1" customWidth="1"/>
    <col min="3" max="3" width="16" bestFit="1" customWidth="1"/>
    <col min="4" max="4" width="27.19921875" customWidth="1"/>
    <col min="5" max="5" width="13.69921875" bestFit="1" customWidth="1"/>
    <col min="6" max="6" width="21.69921875" customWidth="1"/>
    <col min="7" max="7" width="22.5" customWidth="1"/>
  </cols>
  <sheetData>
    <row r="1" spans="1:7" x14ac:dyDescent="0.3">
      <c r="A1" s="2" t="s">
        <v>38</v>
      </c>
      <c r="B1" s="2" t="s">
        <v>3</v>
      </c>
      <c r="C1" s="2" t="s">
        <v>4</v>
      </c>
      <c r="D1" s="2" t="s">
        <v>83</v>
      </c>
      <c r="E1" s="2" t="s">
        <v>12</v>
      </c>
      <c r="F1" s="7" t="s">
        <v>13</v>
      </c>
      <c r="G1" s="7" t="s">
        <v>14</v>
      </c>
    </row>
    <row r="2" spans="1:7" x14ac:dyDescent="0.3">
      <c r="A2" s="3" t="s">
        <v>74</v>
      </c>
      <c r="B2" s="3" t="s">
        <v>5</v>
      </c>
      <c r="C2" s="4" t="s">
        <v>78</v>
      </c>
      <c r="D2" s="3" t="str">
        <f t="shared" ref="D2:D11" si="0">A2&amp;B2</f>
        <v>PV_ExpensesPrior</v>
      </c>
      <c r="E2" s="3">
        <v>1</v>
      </c>
      <c r="F2" s="12">
        <f>IF(B2="Prior",SUMIFS('Actuarial Data'!B:B,'Actuarial Data'!A:A,'Primary Values'!C2),IF(B2="Current",SUMIFS('Actuarial Data'!C:C,'Actuarial Data'!A:A,'Primary Values'!C2),0))</f>
        <v>58500000</v>
      </c>
      <c r="G2" s="12">
        <f>E2*F2</f>
        <v>58500000</v>
      </c>
    </row>
    <row r="3" spans="1:7" x14ac:dyDescent="0.3">
      <c r="A3" s="3" t="s">
        <v>74</v>
      </c>
      <c r="B3" s="3" t="s">
        <v>11</v>
      </c>
      <c r="C3" s="4" t="s">
        <v>78</v>
      </c>
      <c r="D3" s="3" t="str">
        <f t="shared" si="0"/>
        <v>PV_ExpensesCurrent</v>
      </c>
      <c r="E3" s="3">
        <v>1</v>
      </c>
      <c r="F3" s="12">
        <f>IF(B3="Prior",SUMIFS('Actuarial Data'!B:B,'Actuarial Data'!A:A,'Primary Values'!C3),IF(B3="Current",SUMIFS('Actuarial Data'!C:C,'Actuarial Data'!A:A,'Primary Values'!C3),0))</f>
        <v>50250000</v>
      </c>
      <c r="G3" s="12">
        <f t="shared" ref="G3:G11" si="1">E3*F3</f>
        <v>50250000</v>
      </c>
    </row>
    <row r="4" spans="1:7" x14ac:dyDescent="0.3">
      <c r="A4" s="3" t="s">
        <v>75</v>
      </c>
      <c r="B4" s="3" t="s">
        <v>5</v>
      </c>
      <c r="C4" s="4" t="s">
        <v>78</v>
      </c>
      <c r="D4" s="3" t="str">
        <f t="shared" si="0"/>
        <v>Net_ExpensesPrior</v>
      </c>
      <c r="E4" s="3">
        <v>1</v>
      </c>
      <c r="F4" s="12">
        <f>IF(B4="Prior",SUMIFS('Actuarial Data'!B:B,'Actuarial Data'!A:A,'Primary Values'!C4),IF(B4="Current",SUMIFS('Actuarial Data'!C:C,'Actuarial Data'!A:A,'Primary Values'!C4),0))</f>
        <v>58500000</v>
      </c>
      <c r="G4" s="12">
        <f t="shared" si="1"/>
        <v>58500000</v>
      </c>
    </row>
    <row r="5" spans="1:7" x14ac:dyDescent="0.3">
      <c r="A5" s="3" t="s">
        <v>75</v>
      </c>
      <c r="B5" s="3" t="s">
        <v>11</v>
      </c>
      <c r="C5" s="3" t="s">
        <v>37</v>
      </c>
      <c r="D5" s="3" t="str">
        <f t="shared" si="0"/>
        <v>Net_ExpensesCurrent</v>
      </c>
      <c r="E5" s="3">
        <v>-1</v>
      </c>
      <c r="F5" s="12">
        <f>IF(B5="Prior",SUMIFS('Actuarial Data'!B:B,'Actuarial Data'!A:A,'Primary Values'!C5),IF(B5="Current",SUMIFS('Actuarial Data'!C:C,'Actuarial Data'!A:A,'Primary Values'!C5),0))</f>
        <v>5000000</v>
      </c>
      <c r="G5" s="12">
        <f t="shared" si="1"/>
        <v>-5000000</v>
      </c>
    </row>
    <row r="6" spans="1:7" x14ac:dyDescent="0.3">
      <c r="A6" s="3" t="s">
        <v>75</v>
      </c>
      <c r="B6" s="3" t="s">
        <v>11</v>
      </c>
      <c r="C6" s="3" t="s">
        <v>35</v>
      </c>
      <c r="D6" s="3" t="str">
        <f t="shared" si="0"/>
        <v>Net_ExpensesCurrent</v>
      </c>
      <c r="E6" s="3">
        <v>1</v>
      </c>
      <c r="F6" s="12">
        <f>IF(B6="Prior",SUMIFS('Actuarial Data'!B:B,'Actuarial Data'!A:A,'Primary Values'!C6),IF(B6="Current",SUMIFS('Actuarial Data'!C:C,'Actuarial Data'!A:A,'Primary Values'!C6),0))</f>
        <v>3250000</v>
      </c>
      <c r="G6" s="12">
        <f t="shared" si="1"/>
        <v>3250000</v>
      </c>
    </row>
    <row r="7" spans="1:7" x14ac:dyDescent="0.3">
      <c r="A7" s="3" t="s">
        <v>75</v>
      </c>
      <c r="B7" s="3" t="s">
        <v>11</v>
      </c>
      <c r="C7" s="4" t="s">
        <v>78</v>
      </c>
      <c r="D7" s="3" t="str">
        <f t="shared" si="0"/>
        <v>Net_ExpensesCurrent</v>
      </c>
      <c r="E7" s="3">
        <v>-1</v>
      </c>
      <c r="F7" s="12">
        <f>IF(B7="Prior",SUMIFS('Actuarial Data'!B:B,'Actuarial Data'!A:A,'Primary Values'!C7),IF(B7="Current",SUMIFS('Actuarial Data'!C:C,'Actuarial Data'!A:A,'Primary Values'!C7),0))</f>
        <v>50250000</v>
      </c>
      <c r="G7" s="12">
        <f t="shared" si="1"/>
        <v>-50250000</v>
      </c>
    </row>
    <row r="8" spans="1:7" x14ac:dyDescent="0.3">
      <c r="A8" s="3" t="s">
        <v>112</v>
      </c>
      <c r="B8" s="3" t="s">
        <v>5</v>
      </c>
      <c r="C8" s="3" t="s">
        <v>113</v>
      </c>
      <c r="D8" s="3" t="str">
        <f t="shared" si="0"/>
        <v>PV_RevenuePrior</v>
      </c>
      <c r="E8" s="3">
        <v>1</v>
      </c>
      <c r="F8" s="12">
        <f>IF(B8="Prior",SUMIFS('Actuarial Data'!B:B,'Actuarial Data'!A:A,'Primary Values'!C8),IF(B8="Current",SUMIFS('Actuarial Data'!C:C,'Actuarial Data'!A:A,'Primary Values'!C8),0))</f>
        <v>62050000</v>
      </c>
      <c r="G8" s="12">
        <f t="shared" si="1"/>
        <v>62050000</v>
      </c>
    </row>
    <row r="9" spans="1:7" x14ac:dyDescent="0.3">
      <c r="A9" s="3" t="s">
        <v>112</v>
      </c>
      <c r="B9" s="3" t="s">
        <v>11</v>
      </c>
      <c r="C9" s="3" t="s">
        <v>113</v>
      </c>
      <c r="D9" s="3" t="str">
        <f t="shared" si="0"/>
        <v>PV_RevenueCurrent</v>
      </c>
      <c r="E9" s="3">
        <v>1</v>
      </c>
      <c r="F9" s="12">
        <f>IF(B9="Prior",SUMIFS('Actuarial Data'!B:B,'Actuarial Data'!A:A,'Primary Values'!C9),IF(B9="Current",SUMIFS('Actuarial Data'!C:C,'Actuarial Data'!A:A,'Primary Values'!C9),0))</f>
        <v>57120000</v>
      </c>
      <c r="G9" s="12">
        <f t="shared" si="1"/>
        <v>57120000</v>
      </c>
    </row>
    <row r="10" spans="1:7" x14ac:dyDescent="0.3">
      <c r="A10" s="3" t="s">
        <v>114</v>
      </c>
      <c r="B10" s="3" t="s">
        <v>5</v>
      </c>
      <c r="C10" s="3" t="s">
        <v>117</v>
      </c>
      <c r="D10" s="3" t="str">
        <f t="shared" si="0"/>
        <v>Net_IncomePrior</v>
      </c>
      <c r="E10" s="3">
        <v>1</v>
      </c>
      <c r="F10" s="12">
        <f>IF(B10="Prior",SUMIFS('Actuarial Data'!B:B,'Actuarial Data'!A:A,'Primary Values'!C10),IF(B10="Current",SUMIFS('Actuarial Data'!C:C,'Actuarial Data'!A:A,'Primary Values'!C10),0))</f>
        <v>3550000</v>
      </c>
      <c r="G10" s="12">
        <f t="shared" si="1"/>
        <v>3550000</v>
      </c>
    </row>
    <row r="11" spans="1:7" x14ac:dyDescent="0.3">
      <c r="A11" s="3" t="s">
        <v>114</v>
      </c>
      <c r="B11" s="3" t="s">
        <v>11</v>
      </c>
      <c r="C11" s="3" t="s">
        <v>117</v>
      </c>
      <c r="D11" s="3" t="str">
        <f t="shared" si="0"/>
        <v>Net_IncomeCurrent</v>
      </c>
      <c r="E11" s="3">
        <v>1</v>
      </c>
      <c r="F11" s="12">
        <f>IF(B11="Prior",SUMIFS('Actuarial Data'!B:B,'Actuarial Data'!A:A,'Primary Values'!C11),IF(B11="Current",SUMIFS('Actuarial Data'!C:C,'Actuarial Data'!A:A,'Primary Values'!C11),0))</f>
        <v>6870000</v>
      </c>
      <c r="G11" s="12">
        <f t="shared" si="1"/>
        <v>6870000</v>
      </c>
    </row>
  </sheetData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8" tint="0.59999389629810485"/>
  </sheetPr>
  <dimension ref="A1:F26"/>
  <sheetViews>
    <sheetView zoomScale="120" zoomScaleNormal="120" workbookViewId="0">
      <selection activeCell="F16" sqref="F16:F26"/>
    </sheetView>
  </sheetViews>
  <sheetFormatPr defaultColWidth="11.19921875" defaultRowHeight="15.6" x14ac:dyDescent="0.3"/>
  <cols>
    <col min="1" max="1" width="20" customWidth="1"/>
    <col min="2" max="2" width="12.796875" customWidth="1"/>
    <col min="3" max="3" width="43.296875" bestFit="1" customWidth="1"/>
    <col min="4" max="4" width="13.69921875" bestFit="1" customWidth="1"/>
    <col min="5" max="5" width="16.296875" style="1" bestFit="1" customWidth="1"/>
    <col min="6" max="6" width="18.19921875" style="1" customWidth="1"/>
  </cols>
  <sheetData>
    <row r="1" spans="1:6" x14ac:dyDescent="0.3">
      <c r="A1" s="2" t="s">
        <v>0</v>
      </c>
      <c r="B1" s="2" t="s">
        <v>3</v>
      </c>
      <c r="C1" s="2" t="s">
        <v>84</v>
      </c>
      <c r="D1" s="2" t="s">
        <v>12</v>
      </c>
      <c r="E1" s="7" t="s">
        <v>13</v>
      </c>
      <c r="F1" s="7" t="s">
        <v>14</v>
      </c>
    </row>
    <row r="2" spans="1:6" x14ac:dyDescent="0.3">
      <c r="A2" s="3" t="s">
        <v>58</v>
      </c>
      <c r="B2" s="3" t="s">
        <v>5</v>
      </c>
      <c r="C2" s="4" t="s">
        <v>78</v>
      </c>
      <c r="D2" s="3">
        <v>1</v>
      </c>
      <c r="E2" s="9">
        <f>IF(B2="Prior",SUMIFS('Actuarial Data'!B:B,'Actuarial Data'!A:A,'Granular Values'!C2),IF('Granular Values'!B2 = "Current",SUMIFS('Actuarial Data'!C:C,'Actuarial Data'!A:A,'Granular Values'!C2),0))</f>
        <v>58500000</v>
      </c>
      <c r="F2" s="13">
        <f>D2*E2</f>
        <v>58500000</v>
      </c>
    </row>
    <row r="3" spans="1:6" x14ac:dyDescent="0.3">
      <c r="A3" s="3" t="s">
        <v>60</v>
      </c>
      <c r="B3" s="3" t="s">
        <v>11</v>
      </c>
      <c r="C3" s="3" t="s">
        <v>27</v>
      </c>
      <c r="D3" s="3">
        <v>1</v>
      </c>
      <c r="E3" s="9">
        <f>IF(B3="Prior",SUMIFS('Actuarial Data'!B:B,'Actuarial Data'!A:A,'Granular Values'!C3),IF('Granular Values'!B3 = "Current",SUMIFS('Actuarial Data'!C:C,'Actuarial Data'!A:A,'Granular Values'!C3),0))</f>
        <v>4325000</v>
      </c>
      <c r="F3" s="13">
        <f t="shared" ref="F3:F26" si="0">D3*E3</f>
        <v>4325000</v>
      </c>
    </row>
    <row r="4" spans="1:6" x14ac:dyDescent="0.3">
      <c r="A4" s="3" t="s">
        <v>61</v>
      </c>
      <c r="B4" s="3" t="s">
        <v>11</v>
      </c>
      <c r="C4" s="3" t="s">
        <v>36</v>
      </c>
      <c r="D4" s="3">
        <v>1</v>
      </c>
      <c r="E4" s="9">
        <f>IF(B4="Prior",SUMIFS('Actuarial Data'!B:B,'Actuarial Data'!A:A,'Granular Values'!C4),IF('Granular Values'!B4 = "Current",SUMIFS('Actuarial Data'!C:C,'Actuarial Data'!A:A,'Granular Values'!C4),0))</f>
        <v>6112500</v>
      </c>
      <c r="F4" s="13">
        <f t="shared" si="0"/>
        <v>6112500</v>
      </c>
    </row>
    <row r="5" spans="1:6" x14ac:dyDescent="0.3">
      <c r="A5" s="3" t="s">
        <v>62</v>
      </c>
      <c r="B5" s="3" t="s">
        <v>11</v>
      </c>
      <c r="C5" s="3" t="s">
        <v>28</v>
      </c>
      <c r="D5" s="3">
        <v>1</v>
      </c>
      <c r="E5" s="9">
        <f>IF(B5="Prior",SUMIFS('Actuarial Data'!B:B,'Actuarial Data'!A:A,'Granular Values'!C5),IF('Granular Values'!B5 = "Current",SUMIFS('Actuarial Data'!C:C,'Actuarial Data'!A:A,'Granular Values'!C5),0))</f>
        <v>400000</v>
      </c>
      <c r="F5" s="13">
        <f t="shared" si="0"/>
        <v>400000</v>
      </c>
    </row>
    <row r="6" spans="1:6" x14ac:dyDescent="0.3">
      <c r="A6" s="3" t="s">
        <v>63</v>
      </c>
      <c r="B6" s="3" t="s">
        <v>11</v>
      </c>
      <c r="C6" s="3" t="s">
        <v>29</v>
      </c>
      <c r="D6" s="3">
        <v>1</v>
      </c>
      <c r="E6" s="9">
        <f>IF(B6="Prior",SUMIFS('Actuarial Data'!B:B,'Actuarial Data'!A:A,'Granular Values'!C6),IF('Granular Values'!B6 = "Current",SUMIFS('Actuarial Data'!C:C,'Actuarial Data'!A:A,'Granular Values'!C6),0))</f>
        <v>1250000</v>
      </c>
      <c r="F6" s="13">
        <f t="shared" si="0"/>
        <v>1250000</v>
      </c>
    </row>
    <row r="7" spans="1:6" x14ac:dyDescent="0.3">
      <c r="A7" s="3" t="s">
        <v>64</v>
      </c>
      <c r="B7" s="3" t="s">
        <v>11</v>
      </c>
      <c r="C7" s="3" t="s">
        <v>31</v>
      </c>
      <c r="D7" s="3">
        <v>1</v>
      </c>
      <c r="E7" s="9">
        <f>IF(B7="Prior",SUMIFS('Actuarial Data'!B:B,'Actuarial Data'!A:A,'Granular Values'!C7),IF('Granular Values'!B7 = "Current",SUMIFS('Actuarial Data'!C:C,'Actuarial Data'!A:A,'Granular Values'!C7),0))</f>
        <v>500000</v>
      </c>
      <c r="F7" s="13">
        <f t="shared" si="0"/>
        <v>500000</v>
      </c>
    </row>
    <row r="8" spans="1:6" x14ac:dyDescent="0.3">
      <c r="A8" s="3" t="s">
        <v>65</v>
      </c>
      <c r="B8" s="3" t="s">
        <v>11</v>
      </c>
      <c r="C8" s="3" t="s">
        <v>30</v>
      </c>
      <c r="D8" s="3">
        <v>1</v>
      </c>
      <c r="E8" s="9">
        <f>IF(B8="Prior",SUMIFS('Actuarial Data'!B:B,'Actuarial Data'!A:A,'Granular Values'!C8),IF('Granular Values'!B8 = "Current",SUMIFS('Actuarial Data'!C:C,'Actuarial Data'!A:A,'Granular Values'!C8),0))</f>
        <v>5025000</v>
      </c>
      <c r="F8" s="13">
        <f t="shared" si="0"/>
        <v>5025000</v>
      </c>
    </row>
    <row r="9" spans="1:6" x14ac:dyDescent="0.3">
      <c r="A9" s="3" t="s">
        <v>66</v>
      </c>
      <c r="B9" s="3" t="s">
        <v>11</v>
      </c>
      <c r="C9" s="3" t="s">
        <v>32</v>
      </c>
      <c r="D9" s="3">
        <v>1</v>
      </c>
      <c r="E9" s="9">
        <f>IF(B9="Prior",SUMIFS('Actuarial Data'!B:B,'Actuarial Data'!A:A,'Granular Values'!C9),IF('Granular Values'!B9 = "Current",SUMIFS('Actuarial Data'!C:C,'Actuarial Data'!A:A,'Granular Values'!C9),0))</f>
        <v>7537500</v>
      </c>
      <c r="F9" s="13">
        <f t="shared" si="0"/>
        <v>7537500</v>
      </c>
    </row>
    <row r="10" spans="1:6" x14ac:dyDescent="0.3">
      <c r="A10" s="3" t="s">
        <v>67</v>
      </c>
      <c r="B10" s="3" t="s">
        <v>11</v>
      </c>
      <c r="C10" s="3" t="s">
        <v>33</v>
      </c>
      <c r="D10" s="3">
        <v>1</v>
      </c>
      <c r="E10" s="9">
        <f>IF(B10="Prior",SUMIFS('Actuarial Data'!B:B,'Actuarial Data'!A:A,'Granular Values'!C10),IF('Granular Values'!B10 = "Current",SUMIFS('Actuarial Data'!C:C,'Actuarial Data'!A:A,'Granular Values'!C10),0))</f>
        <v>21075000</v>
      </c>
      <c r="F10" s="13">
        <f t="shared" si="0"/>
        <v>21075000</v>
      </c>
    </row>
    <row r="11" spans="1:6" x14ac:dyDescent="0.3">
      <c r="A11" s="3" t="s">
        <v>68</v>
      </c>
      <c r="B11" s="3" t="s">
        <v>11</v>
      </c>
      <c r="C11" s="3" t="s">
        <v>34</v>
      </c>
      <c r="D11" s="3">
        <v>1</v>
      </c>
      <c r="E11" s="9">
        <f>IF(B11="Prior",SUMIFS('Actuarial Data'!B:B,'Actuarial Data'!A:A,'Granular Values'!C11),IF('Granular Values'!B11 = "Current",SUMIFS('Actuarial Data'!C:C,'Actuarial Data'!A:A,'Granular Values'!C11),0))</f>
        <v>4025000</v>
      </c>
      <c r="F11" s="13">
        <f t="shared" si="0"/>
        <v>4025000</v>
      </c>
    </row>
    <row r="12" spans="1:6" x14ac:dyDescent="0.3">
      <c r="A12" s="3" t="s">
        <v>59</v>
      </c>
      <c r="B12" s="3" t="s">
        <v>11</v>
      </c>
      <c r="C12" s="4" t="s">
        <v>78</v>
      </c>
      <c r="D12" s="3">
        <v>1</v>
      </c>
      <c r="E12" s="9">
        <f>IF(B12="Prior",SUMIFS('Actuarial Data'!B:B,'Actuarial Data'!A:A,'Granular Values'!C12),IF('Granular Values'!B12 = "Current",SUMIFS('Actuarial Data'!C:C,'Actuarial Data'!A:A,'Granular Values'!C12),0))</f>
        <v>50250000</v>
      </c>
      <c r="F12" s="13">
        <f t="shared" si="0"/>
        <v>50250000</v>
      </c>
    </row>
    <row r="13" spans="1:6" x14ac:dyDescent="0.3">
      <c r="A13" s="10" t="s">
        <v>70</v>
      </c>
      <c r="B13" s="10" t="s">
        <v>5</v>
      </c>
      <c r="C13" s="4" t="s">
        <v>78</v>
      </c>
      <c r="D13" s="10">
        <v>1</v>
      </c>
      <c r="E13" s="9">
        <f>IF(B13="Prior",SUMIFS('Actuarial Data'!B:B,'Actuarial Data'!A:A,'Granular Values'!C13),IF('Granular Values'!B13 = "Current",SUMIFS('Actuarial Data'!C:C,'Actuarial Data'!A:A,'Granular Values'!C13),0))</f>
        <v>58500000</v>
      </c>
      <c r="F13" s="13">
        <f t="shared" si="0"/>
        <v>58500000</v>
      </c>
    </row>
    <row r="14" spans="1:6" x14ac:dyDescent="0.3">
      <c r="A14" s="10" t="s">
        <v>70</v>
      </c>
      <c r="B14" s="3" t="s">
        <v>11</v>
      </c>
      <c r="C14" s="4" t="s">
        <v>37</v>
      </c>
      <c r="D14" s="3">
        <v>-1</v>
      </c>
      <c r="E14" s="9">
        <f>IF(B14="Prior",SUMIFS('Actuarial Data'!B:B,'Actuarial Data'!A:A,'Granular Values'!C14),IF('Granular Values'!B14 = "Current",SUMIFS('Actuarial Data'!C:C,'Actuarial Data'!A:A,'Granular Values'!C14),0))</f>
        <v>5000000</v>
      </c>
      <c r="F14" s="13">
        <f t="shared" si="0"/>
        <v>-5000000</v>
      </c>
    </row>
    <row r="15" spans="1:6" x14ac:dyDescent="0.3">
      <c r="A15" s="10" t="s">
        <v>70</v>
      </c>
      <c r="B15" s="3" t="s">
        <v>11</v>
      </c>
      <c r="C15" s="3" t="s">
        <v>35</v>
      </c>
      <c r="D15" s="3">
        <v>1</v>
      </c>
      <c r="E15" s="9">
        <f>IF(B15="Prior",SUMIFS('Actuarial Data'!B:B,'Actuarial Data'!A:A,'Granular Values'!C15),IF('Granular Values'!B15 = "Current",SUMIFS('Actuarial Data'!C:C,'Actuarial Data'!A:A,'Granular Values'!C15),0))</f>
        <v>3250000</v>
      </c>
      <c r="F15" s="13">
        <f t="shared" si="0"/>
        <v>3250000</v>
      </c>
    </row>
    <row r="16" spans="1:6" x14ac:dyDescent="0.3">
      <c r="A16" s="3" t="s">
        <v>70</v>
      </c>
      <c r="B16" s="3" t="s">
        <v>11</v>
      </c>
      <c r="C16" s="4" t="s">
        <v>78</v>
      </c>
      <c r="D16" s="3">
        <v>-1</v>
      </c>
      <c r="E16" s="9">
        <f>IF(B16="Prior",SUMIFS('Actuarial Data'!B:B,'Actuarial Data'!A:A,'Granular Values'!C16),IF('Granular Values'!B16 = "Current",SUMIFS('Actuarial Data'!C:C,'Actuarial Data'!A:A,'Granular Values'!C16),0))</f>
        <v>50250000</v>
      </c>
      <c r="F16" s="13">
        <f t="shared" si="0"/>
        <v>-50250000</v>
      </c>
    </row>
    <row r="17" spans="1:6" x14ac:dyDescent="0.3">
      <c r="A17" s="3" t="s">
        <v>88</v>
      </c>
      <c r="B17" s="3" t="s">
        <v>5</v>
      </c>
      <c r="C17" s="3" t="s">
        <v>113</v>
      </c>
      <c r="D17" s="3">
        <v>1</v>
      </c>
      <c r="E17" s="9">
        <f>IF(B17="Prior",SUMIFS('Actuarial Data'!B:B,'Actuarial Data'!A:A,'Granular Values'!C17),IF('Granular Values'!B17 = "Current",SUMIFS('Actuarial Data'!C:C,'Actuarial Data'!A:A,'Granular Values'!C17),0))</f>
        <v>62050000</v>
      </c>
      <c r="F17" s="13">
        <f t="shared" si="0"/>
        <v>62050000</v>
      </c>
    </row>
    <row r="18" spans="1:6" x14ac:dyDescent="0.3">
      <c r="A18" s="3" t="s">
        <v>91</v>
      </c>
      <c r="B18" s="3" t="s">
        <v>11</v>
      </c>
      <c r="C18" s="3" t="s">
        <v>113</v>
      </c>
      <c r="D18" s="3">
        <v>1</v>
      </c>
      <c r="E18" s="9">
        <f>IF(B18="Prior",SUMIFS('Actuarial Data'!B:B,'Actuarial Data'!A:A,'Granular Values'!C18),IF('Granular Values'!B18 = "Current",SUMIFS('Actuarial Data'!C:C,'Actuarial Data'!A:A,'Granular Values'!C18),0))</f>
        <v>57120000</v>
      </c>
      <c r="F18" s="13">
        <f t="shared" si="0"/>
        <v>57120000</v>
      </c>
    </row>
    <row r="19" spans="1:6" x14ac:dyDescent="0.3">
      <c r="A19" s="3" t="s">
        <v>94</v>
      </c>
      <c r="B19" s="3" t="s">
        <v>11</v>
      </c>
      <c r="C19" s="3" t="s">
        <v>119</v>
      </c>
      <c r="D19" s="3">
        <v>1</v>
      </c>
      <c r="E19" s="9">
        <f>IF(B19="Prior",SUMIFS('Actuarial Data'!B:B,'Actuarial Data'!A:A,'Granular Values'!C19),IF('Granular Values'!B19 = "Current",SUMIFS('Actuarial Data'!C:C,'Actuarial Data'!A:A,'Granular Values'!C19),0))</f>
        <v>28500000</v>
      </c>
      <c r="F19" s="13">
        <f t="shared" si="0"/>
        <v>28500000</v>
      </c>
    </row>
    <row r="20" spans="1:6" x14ac:dyDescent="0.3">
      <c r="A20" s="3" t="s">
        <v>97</v>
      </c>
      <c r="B20" s="3" t="s">
        <v>11</v>
      </c>
      <c r="C20" s="3" t="s">
        <v>120</v>
      </c>
      <c r="D20" s="3">
        <v>1</v>
      </c>
      <c r="E20" s="9">
        <f>IF(B20="Prior",SUMIFS('Actuarial Data'!B:B,'Actuarial Data'!A:A,'Granular Values'!C20),IF('Granular Values'!B20 = "Current",SUMIFS('Actuarial Data'!C:C,'Actuarial Data'!A:A,'Granular Values'!C20),0))</f>
        <v>9500000</v>
      </c>
      <c r="F20" s="13">
        <f t="shared" si="0"/>
        <v>9500000</v>
      </c>
    </row>
    <row r="21" spans="1:6" x14ac:dyDescent="0.3">
      <c r="A21" s="3" t="s">
        <v>100</v>
      </c>
      <c r="B21" s="3" t="s">
        <v>11</v>
      </c>
      <c r="C21" s="3" t="s">
        <v>121</v>
      </c>
      <c r="D21" s="3">
        <v>1</v>
      </c>
      <c r="E21" s="9">
        <f>IF(B21="Prior",SUMIFS('Actuarial Data'!B:B,'Actuarial Data'!A:A,'Granular Values'!C21),IF('Granular Values'!B21 = "Current",SUMIFS('Actuarial Data'!C:C,'Actuarial Data'!A:A,'Granular Values'!C21),0))</f>
        <v>16920000</v>
      </c>
      <c r="F21" s="13">
        <f t="shared" si="0"/>
        <v>16920000</v>
      </c>
    </row>
    <row r="22" spans="1:6" x14ac:dyDescent="0.3">
      <c r="A22" s="3" t="s">
        <v>103</v>
      </c>
      <c r="B22" s="3" t="s">
        <v>11</v>
      </c>
      <c r="C22" s="3" t="s">
        <v>122</v>
      </c>
      <c r="D22" s="3">
        <v>1</v>
      </c>
      <c r="E22" s="9">
        <f>IF(B22="Prior",SUMIFS('Actuarial Data'!B:B,'Actuarial Data'!A:A,'Granular Values'!C22),IF('Granular Values'!B22 = "Current",SUMIFS('Actuarial Data'!C:C,'Actuarial Data'!A:A,'Granular Values'!C22),0))</f>
        <v>2200000</v>
      </c>
      <c r="F22" s="13">
        <f t="shared" si="0"/>
        <v>2200000</v>
      </c>
    </row>
    <row r="23" spans="1:6" x14ac:dyDescent="0.3">
      <c r="A23" s="3" t="s">
        <v>106</v>
      </c>
      <c r="B23" s="3" t="s">
        <v>5</v>
      </c>
      <c r="C23" s="3" t="s">
        <v>113</v>
      </c>
      <c r="D23" s="3">
        <v>1</v>
      </c>
      <c r="E23" s="9">
        <f>IF(B23="Prior",SUMIFS('Actuarial Data'!B:B,'Actuarial Data'!A:A,'Granular Values'!C23),IF('Granular Values'!B23 = "Current",SUMIFS('Actuarial Data'!C:C,'Actuarial Data'!A:A,'Granular Values'!C23),0))</f>
        <v>62050000</v>
      </c>
      <c r="F23" s="13">
        <f t="shared" si="0"/>
        <v>62050000</v>
      </c>
    </row>
    <row r="24" spans="1:6" x14ac:dyDescent="0.3">
      <c r="A24" s="3" t="s">
        <v>106</v>
      </c>
      <c r="B24" s="3" t="s">
        <v>5</v>
      </c>
      <c r="C24" s="4" t="s">
        <v>78</v>
      </c>
      <c r="D24" s="3">
        <v>-1</v>
      </c>
      <c r="E24" s="9">
        <f>IF(B24="Prior",SUMIFS('Actuarial Data'!B:B,'Actuarial Data'!A:A,'Granular Values'!C24),IF('Granular Values'!B24 = "Current",SUMIFS('Actuarial Data'!C:C,'Actuarial Data'!A:A,'Granular Values'!C24),0))</f>
        <v>58500000</v>
      </c>
      <c r="F24" s="13">
        <f t="shared" si="0"/>
        <v>-58500000</v>
      </c>
    </row>
    <row r="25" spans="1:6" x14ac:dyDescent="0.3">
      <c r="A25" s="3" t="s">
        <v>109</v>
      </c>
      <c r="B25" s="3" t="s">
        <v>11</v>
      </c>
      <c r="C25" s="3" t="s">
        <v>113</v>
      </c>
      <c r="D25" s="3">
        <v>1</v>
      </c>
      <c r="E25" s="9">
        <f>IF(B25="Prior",SUMIFS('Actuarial Data'!B:B,'Actuarial Data'!A:A,'Granular Values'!C25),IF('Granular Values'!B25 = "Current",SUMIFS('Actuarial Data'!C:C,'Actuarial Data'!A:A,'Granular Values'!C25),0))</f>
        <v>57120000</v>
      </c>
      <c r="F25" s="13">
        <f t="shared" si="0"/>
        <v>57120000</v>
      </c>
    </row>
    <row r="26" spans="1:6" x14ac:dyDescent="0.3">
      <c r="A26" s="3" t="s">
        <v>109</v>
      </c>
      <c r="B26" s="3" t="s">
        <v>11</v>
      </c>
      <c r="C26" s="4" t="s">
        <v>78</v>
      </c>
      <c r="D26" s="3">
        <v>-1</v>
      </c>
      <c r="E26" s="9">
        <f>IF(B26="Prior",SUMIFS('Actuarial Data'!B:B,'Actuarial Data'!A:A,'Granular Values'!C26),IF('Granular Values'!B26 = "Current",SUMIFS('Actuarial Data'!C:C,'Actuarial Data'!A:A,'Granular Values'!C26),0))</f>
        <v>50250000</v>
      </c>
      <c r="F26" s="13">
        <f t="shared" si="0"/>
        <v>-50250000</v>
      </c>
    </row>
  </sheetData>
  <phoneticPr fontId="3" type="noConversion"/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F27"/>
  <sheetViews>
    <sheetView workbookViewId="0">
      <selection activeCell="D23" sqref="D23"/>
    </sheetView>
  </sheetViews>
  <sheetFormatPr defaultColWidth="11.19921875" defaultRowHeight="15.6" x14ac:dyDescent="0.3"/>
  <cols>
    <col min="1" max="1" width="43.296875" bestFit="1" customWidth="1"/>
    <col min="2" max="3" width="15" bestFit="1" customWidth="1"/>
    <col min="4" max="4" width="13" bestFit="1" customWidth="1"/>
    <col min="5" max="5" width="15" bestFit="1" customWidth="1"/>
    <col min="6" max="6" width="14" bestFit="1" customWidth="1"/>
  </cols>
  <sheetData>
    <row r="1" spans="1:6" x14ac:dyDescent="0.3">
      <c r="A1" s="2" t="s">
        <v>84</v>
      </c>
      <c r="B1" s="2" t="s">
        <v>6</v>
      </c>
      <c r="C1" s="2" t="s">
        <v>7</v>
      </c>
      <c r="D1" s="2" t="s">
        <v>8</v>
      </c>
      <c r="E1" s="2" t="s">
        <v>9</v>
      </c>
      <c r="F1" s="2" t="s">
        <v>10</v>
      </c>
    </row>
    <row r="2" spans="1:6" x14ac:dyDescent="0.3">
      <c r="A2" s="3" t="s">
        <v>78</v>
      </c>
      <c r="B2" s="9">
        <v>58500000</v>
      </c>
      <c r="C2" s="9">
        <v>50250000</v>
      </c>
      <c r="D2" s="5">
        <v>0</v>
      </c>
      <c r="E2" s="5">
        <v>0</v>
      </c>
      <c r="F2" s="5">
        <v>0</v>
      </c>
    </row>
    <row r="3" spans="1:6" x14ac:dyDescent="0.3">
      <c r="A3" s="3" t="s">
        <v>27</v>
      </c>
      <c r="B3" s="9">
        <v>0</v>
      </c>
      <c r="C3" s="9">
        <v>4325000</v>
      </c>
      <c r="D3" s="5">
        <v>0</v>
      </c>
      <c r="E3" s="5">
        <v>0</v>
      </c>
      <c r="F3" s="5">
        <v>0</v>
      </c>
    </row>
    <row r="4" spans="1:6" x14ac:dyDescent="0.3">
      <c r="A4" s="3" t="s">
        <v>36</v>
      </c>
      <c r="B4" s="9">
        <v>0</v>
      </c>
      <c r="C4" s="9">
        <v>6112500</v>
      </c>
      <c r="D4" s="5">
        <v>0</v>
      </c>
      <c r="E4" s="5">
        <v>0</v>
      </c>
      <c r="F4" s="5">
        <v>0</v>
      </c>
    </row>
    <row r="5" spans="1:6" x14ac:dyDescent="0.3">
      <c r="A5" s="3" t="s">
        <v>28</v>
      </c>
      <c r="B5" s="9">
        <v>0</v>
      </c>
      <c r="C5" s="9">
        <v>400000</v>
      </c>
      <c r="D5" s="5">
        <v>0</v>
      </c>
      <c r="E5" s="5">
        <v>0</v>
      </c>
      <c r="F5" s="5">
        <v>0</v>
      </c>
    </row>
    <row r="6" spans="1:6" x14ac:dyDescent="0.3">
      <c r="A6" s="3" t="s">
        <v>29</v>
      </c>
      <c r="B6" s="9">
        <v>0</v>
      </c>
      <c r="C6" s="9">
        <v>1250000</v>
      </c>
      <c r="D6" s="5">
        <v>0</v>
      </c>
      <c r="E6" s="5">
        <v>0</v>
      </c>
      <c r="F6" s="5">
        <v>0</v>
      </c>
    </row>
    <row r="7" spans="1:6" x14ac:dyDescent="0.3">
      <c r="A7" s="3" t="s">
        <v>31</v>
      </c>
      <c r="B7" s="9">
        <v>0</v>
      </c>
      <c r="C7" s="9">
        <v>500000</v>
      </c>
      <c r="D7" s="5">
        <v>0</v>
      </c>
      <c r="E7" s="5">
        <v>0</v>
      </c>
      <c r="F7" s="5">
        <v>0</v>
      </c>
    </row>
    <row r="8" spans="1:6" x14ac:dyDescent="0.3">
      <c r="A8" s="3" t="s">
        <v>30</v>
      </c>
      <c r="B8" s="9">
        <v>0</v>
      </c>
      <c r="C8" s="9">
        <v>5025000</v>
      </c>
      <c r="D8" s="5">
        <v>0</v>
      </c>
      <c r="E8" s="5">
        <v>0</v>
      </c>
      <c r="F8" s="5">
        <v>0</v>
      </c>
    </row>
    <row r="9" spans="1:6" x14ac:dyDescent="0.3">
      <c r="A9" s="3" t="s">
        <v>32</v>
      </c>
      <c r="B9" s="9">
        <v>0</v>
      </c>
      <c r="C9" s="9">
        <v>7537500</v>
      </c>
      <c r="D9" s="5">
        <v>0</v>
      </c>
      <c r="E9" s="5">
        <v>0</v>
      </c>
      <c r="F9" s="5">
        <v>0</v>
      </c>
    </row>
    <row r="10" spans="1:6" x14ac:dyDescent="0.3">
      <c r="A10" s="3" t="s">
        <v>33</v>
      </c>
      <c r="B10" s="9">
        <v>0</v>
      </c>
      <c r="C10" s="9">
        <v>21075000</v>
      </c>
      <c r="D10" s="5">
        <v>0</v>
      </c>
      <c r="E10" s="5">
        <v>0</v>
      </c>
      <c r="F10" s="5">
        <v>0</v>
      </c>
    </row>
    <row r="11" spans="1:6" x14ac:dyDescent="0.3">
      <c r="A11" s="3" t="s">
        <v>34</v>
      </c>
      <c r="B11" s="9">
        <v>0</v>
      </c>
      <c r="C11" s="9">
        <v>4025000</v>
      </c>
      <c r="D11" s="5">
        <v>0</v>
      </c>
      <c r="E11" s="5">
        <v>0</v>
      </c>
      <c r="F11" s="5">
        <v>0</v>
      </c>
    </row>
    <row r="12" spans="1:6" x14ac:dyDescent="0.3">
      <c r="A12" s="3" t="s">
        <v>37</v>
      </c>
      <c r="B12" s="9">
        <v>0</v>
      </c>
      <c r="C12" s="9">
        <v>5000000</v>
      </c>
      <c r="D12" s="5">
        <v>0</v>
      </c>
      <c r="E12" s="5">
        <v>0</v>
      </c>
      <c r="F12" s="5">
        <v>0</v>
      </c>
    </row>
    <row r="13" spans="1:6" x14ac:dyDescent="0.3">
      <c r="A13" s="3" t="s">
        <v>35</v>
      </c>
      <c r="B13" s="9">
        <v>0</v>
      </c>
      <c r="C13" s="9">
        <v>3250000</v>
      </c>
      <c r="D13" s="5">
        <v>0</v>
      </c>
      <c r="E13" s="5">
        <v>0</v>
      </c>
      <c r="F13" s="5">
        <v>0</v>
      </c>
    </row>
    <row r="14" spans="1:6" x14ac:dyDescent="0.3">
      <c r="A14" s="3" t="s">
        <v>113</v>
      </c>
      <c r="B14" s="9">
        <v>62050000</v>
      </c>
      <c r="C14" s="9">
        <v>57120000</v>
      </c>
      <c r="D14" s="5">
        <v>0</v>
      </c>
      <c r="E14" s="5">
        <v>0</v>
      </c>
      <c r="F14" s="5">
        <v>0</v>
      </c>
    </row>
    <row r="15" spans="1:6" x14ac:dyDescent="0.3">
      <c r="A15" s="3" t="s">
        <v>119</v>
      </c>
      <c r="B15" s="9">
        <v>0</v>
      </c>
      <c r="C15" s="9">
        <v>28500000</v>
      </c>
      <c r="D15" s="5">
        <v>0</v>
      </c>
      <c r="E15" s="5">
        <v>0</v>
      </c>
      <c r="F15" s="5">
        <v>0</v>
      </c>
    </row>
    <row r="16" spans="1:6" x14ac:dyDescent="0.3">
      <c r="A16" s="3" t="s">
        <v>120</v>
      </c>
      <c r="B16" s="9">
        <v>0</v>
      </c>
      <c r="C16" s="9">
        <v>9500000</v>
      </c>
      <c r="D16" s="5">
        <v>0</v>
      </c>
      <c r="E16" s="5">
        <v>0</v>
      </c>
      <c r="F16" s="5">
        <v>0</v>
      </c>
    </row>
    <row r="17" spans="1:6" x14ac:dyDescent="0.3">
      <c r="A17" s="3" t="s">
        <v>121</v>
      </c>
      <c r="B17" s="9">
        <v>0</v>
      </c>
      <c r="C17" s="9">
        <v>16920000</v>
      </c>
      <c r="D17" s="5">
        <v>0</v>
      </c>
      <c r="E17" s="5">
        <v>0</v>
      </c>
      <c r="F17" s="5">
        <v>0</v>
      </c>
    </row>
    <row r="18" spans="1:6" x14ac:dyDescent="0.3">
      <c r="A18" s="3" t="s">
        <v>122</v>
      </c>
      <c r="B18" s="9">
        <v>0</v>
      </c>
      <c r="C18" s="9">
        <v>2200000</v>
      </c>
      <c r="D18" s="5">
        <v>0</v>
      </c>
      <c r="E18" s="5">
        <v>0</v>
      </c>
      <c r="F18" s="5">
        <v>0</v>
      </c>
    </row>
    <row r="19" spans="1:6" x14ac:dyDescent="0.3">
      <c r="A19" s="3" t="s">
        <v>117</v>
      </c>
      <c r="B19" s="15">
        <f>B14-B2</f>
        <v>3550000</v>
      </c>
      <c r="C19" s="15">
        <f>C14-C2</f>
        <v>6870000</v>
      </c>
      <c r="D19" s="5">
        <v>0</v>
      </c>
      <c r="E19" s="5">
        <v>0</v>
      </c>
      <c r="F19" s="5">
        <v>0</v>
      </c>
    </row>
    <row r="20" spans="1:6" x14ac:dyDescent="0.3">
      <c r="C20" s="6"/>
      <c r="E20" s="6"/>
    </row>
    <row r="21" spans="1:6" x14ac:dyDescent="0.3">
      <c r="C21" s="6"/>
    </row>
    <row r="22" spans="1:6" x14ac:dyDescent="0.3">
      <c r="C22" s="1"/>
    </row>
    <row r="23" spans="1:6" x14ac:dyDescent="0.3">
      <c r="C23" s="1"/>
    </row>
    <row r="24" spans="1:6" x14ac:dyDescent="0.3">
      <c r="C24" s="1"/>
    </row>
    <row r="25" spans="1:6" x14ac:dyDescent="0.3">
      <c r="C25" s="1"/>
    </row>
    <row r="26" spans="1:6" x14ac:dyDescent="0.3">
      <c r="C26" s="1"/>
    </row>
    <row r="27" spans="1:6" x14ac:dyDescent="0.3">
      <c r="C27" s="6"/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7" tint="0.79998168889431442"/>
  </sheetPr>
  <dimension ref="A1:E11"/>
  <sheetViews>
    <sheetView workbookViewId="0">
      <selection activeCell="A8" sqref="A8:E11"/>
    </sheetView>
  </sheetViews>
  <sheetFormatPr defaultColWidth="11.19921875" defaultRowHeight="15.6" x14ac:dyDescent="0.3"/>
  <cols>
    <col min="1" max="1" width="24.19921875" bestFit="1" customWidth="1"/>
    <col min="2" max="2" width="37.69921875" customWidth="1"/>
    <col min="4" max="4" width="84.296875" customWidth="1"/>
    <col min="5" max="5" width="16" bestFit="1" customWidth="1"/>
  </cols>
  <sheetData>
    <row r="1" spans="1:5" x14ac:dyDescent="0.3">
      <c r="A1" s="2" t="s">
        <v>38</v>
      </c>
      <c r="B1" s="2" t="s">
        <v>77</v>
      </c>
      <c r="C1" s="2" t="s">
        <v>3</v>
      </c>
      <c r="D1" s="2" t="s">
        <v>1</v>
      </c>
      <c r="E1" s="2" t="s">
        <v>86</v>
      </c>
    </row>
    <row r="2" spans="1:5" x14ac:dyDescent="0.3">
      <c r="A2" s="3" t="s">
        <v>74</v>
      </c>
      <c r="B2" s="3" t="s">
        <v>48</v>
      </c>
      <c r="C2" s="3" t="s">
        <v>5</v>
      </c>
      <c r="D2" s="3" t="s">
        <v>79</v>
      </c>
      <c r="E2" s="3" t="s">
        <v>78</v>
      </c>
    </row>
    <row r="3" spans="1:5" x14ac:dyDescent="0.3">
      <c r="A3" s="3" t="s">
        <v>74</v>
      </c>
      <c r="B3" s="3" t="s">
        <v>49</v>
      </c>
      <c r="C3" s="3" t="s">
        <v>11</v>
      </c>
      <c r="D3" s="3" t="s">
        <v>80</v>
      </c>
      <c r="E3" s="3" t="s">
        <v>78</v>
      </c>
    </row>
    <row r="4" spans="1:5" ht="31.2" x14ac:dyDescent="0.3">
      <c r="A4" s="3" t="s">
        <v>75</v>
      </c>
      <c r="B4" s="3" t="s">
        <v>71</v>
      </c>
      <c r="C4" s="3" t="s">
        <v>5</v>
      </c>
      <c r="D4" s="8" t="s">
        <v>82</v>
      </c>
      <c r="E4" s="3" t="s">
        <v>78</v>
      </c>
    </row>
    <row r="5" spans="1:5" ht="31.2" x14ac:dyDescent="0.3">
      <c r="A5" s="3" t="s">
        <v>75</v>
      </c>
      <c r="B5" s="3" t="s">
        <v>71</v>
      </c>
      <c r="C5" s="3" t="s">
        <v>11</v>
      </c>
      <c r="D5" s="8" t="s">
        <v>82</v>
      </c>
      <c r="E5" s="3" t="s">
        <v>37</v>
      </c>
    </row>
    <row r="6" spans="1:5" ht="31.2" x14ac:dyDescent="0.3">
      <c r="A6" s="3" t="s">
        <v>75</v>
      </c>
      <c r="B6" s="3" t="s">
        <v>71</v>
      </c>
      <c r="C6" s="3" t="s">
        <v>11</v>
      </c>
      <c r="D6" s="8" t="s">
        <v>82</v>
      </c>
      <c r="E6" s="3" t="s">
        <v>35</v>
      </c>
    </row>
    <row r="7" spans="1:5" ht="31.2" x14ac:dyDescent="0.3">
      <c r="A7" s="3" t="s">
        <v>75</v>
      </c>
      <c r="B7" s="3" t="s">
        <v>71</v>
      </c>
      <c r="C7" s="3" t="s">
        <v>11</v>
      </c>
      <c r="D7" s="8" t="s">
        <v>82</v>
      </c>
      <c r="E7" s="3" t="s">
        <v>78</v>
      </c>
    </row>
    <row r="8" spans="1:5" x14ac:dyDescent="0.3">
      <c r="A8" s="3" t="s">
        <v>112</v>
      </c>
      <c r="B8" s="3" t="s">
        <v>89</v>
      </c>
      <c r="C8" s="3" t="s">
        <v>5</v>
      </c>
      <c r="D8" s="3" t="s">
        <v>90</v>
      </c>
      <c r="E8" s="3" t="s">
        <v>113</v>
      </c>
    </row>
    <row r="9" spans="1:5" x14ac:dyDescent="0.3">
      <c r="A9" s="3" t="s">
        <v>112</v>
      </c>
      <c r="B9" s="3" t="s">
        <v>92</v>
      </c>
      <c r="C9" s="3" t="s">
        <v>11</v>
      </c>
      <c r="D9" s="3" t="s">
        <v>93</v>
      </c>
      <c r="E9" s="3" t="s">
        <v>113</v>
      </c>
    </row>
    <row r="10" spans="1:5" x14ac:dyDescent="0.3">
      <c r="A10" s="3" t="s">
        <v>114</v>
      </c>
      <c r="B10" s="3"/>
      <c r="C10" s="3" t="s">
        <v>115</v>
      </c>
      <c r="D10" s="14" t="s">
        <v>116</v>
      </c>
      <c r="E10" s="3" t="s">
        <v>117</v>
      </c>
    </row>
    <row r="11" spans="1:5" x14ac:dyDescent="0.3">
      <c r="A11" s="3" t="s">
        <v>114</v>
      </c>
      <c r="B11" s="3"/>
      <c r="C11" s="3" t="s">
        <v>11</v>
      </c>
      <c r="D11" s="14" t="s">
        <v>118</v>
      </c>
      <c r="E11" s="3" t="s">
        <v>117</v>
      </c>
    </row>
  </sheetData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7" tint="0.79998168889431442"/>
  </sheetPr>
  <dimension ref="A1:C21"/>
  <sheetViews>
    <sheetView zoomScale="111" zoomScaleNormal="120" workbookViewId="0">
      <selection activeCell="C22" sqref="C22"/>
    </sheetView>
  </sheetViews>
  <sheetFormatPr defaultColWidth="11.19921875" defaultRowHeight="15.6" x14ac:dyDescent="0.3"/>
  <cols>
    <col min="1" max="1" width="15.5" bestFit="1" customWidth="1"/>
    <col min="2" max="2" width="64" bestFit="1" customWidth="1"/>
    <col min="3" max="3" width="100.296875" bestFit="1" customWidth="1"/>
    <col min="5" max="5" width="10.796875" customWidth="1"/>
  </cols>
  <sheetData>
    <row r="1" spans="1:3" x14ac:dyDescent="0.3">
      <c r="A1" s="2" t="s">
        <v>38</v>
      </c>
      <c r="B1" s="2" t="s">
        <v>77</v>
      </c>
      <c r="C1" s="2" t="s">
        <v>1</v>
      </c>
    </row>
    <row r="2" spans="1:3" x14ac:dyDescent="0.3">
      <c r="A2" s="3" t="s">
        <v>58</v>
      </c>
      <c r="B2" s="3" t="s">
        <v>48</v>
      </c>
      <c r="C2" s="4" t="s">
        <v>79</v>
      </c>
    </row>
    <row r="3" spans="1:3" x14ac:dyDescent="0.3">
      <c r="A3" s="3" t="s">
        <v>60</v>
      </c>
      <c r="B3" s="3" t="s">
        <v>50</v>
      </c>
      <c r="C3" s="4" t="s">
        <v>40</v>
      </c>
    </row>
    <row r="4" spans="1:3" x14ac:dyDescent="0.3">
      <c r="A4" s="3" t="s">
        <v>61</v>
      </c>
      <c r="B4" s="3" t="s">
        <v>73</v>
      </c>
      <c r="C4" s="4" t="s">
        <v>72</v>
      </c>
    </row>
    <row r="5" spans="1:3" x14ac:dyDescent="0.3">
      <c r="A5" s="3" t="s">
        <v>62</v>
      </c>
      <c r="B5" s="3" t="s">
        <v>51</v>
      </c>
      <c r="C5" s="4" t="s">
        <v>41</v>
      </c>
    </row>
    <row r="6" spans="1:3" x14ac:dyDescent="0.3">
      <c r="A6" s="3" t="s">
        <v>63</v>
      </c>
      <c r="B6" s="3" t="s">
        <v>52</v>
      </c>
      <c r="C6" s="4" t="s">
        <v>42</v>
      </c>
    </row>
    <row r="7" spans="1:3" x14ac:dyDescent="0.3">
      <c r="A7" s="3" t="s">
        <v>64</v>
      </c>
      <c r="B7" s="3" t="s">
        <v>53</v>
      </c>
      <c r="C7" s="4" t="s">
        <v>43</v>
      </c>
    </row>
    <row r="8" spans="1:3" x14ac:dyDescent="0.3">
      <c r="A8" s="3" t="s">
        <v>65</v>
      </c>
      <c r="B8" s="3" t="s">
        <v>54</v>
      </c>
      <c r="C8" s="4" t="s">
        <v>44</v>
      </c>
    </row>
    <row r="9" spans="1:3" x14ac:dyDescent="0.3">
      <c r="A9" s="3" t="s">
        <v>66</v>
      </c>
      <c r="B9" s="3" t="s">
        <v>55</v>
      </c>
      <c r="C9" s="4" t="s">
        <v>45</v>
      </c>
    </row>
    <row r="10" spans="1:3" x14ac:dyDescent="0.3">
      <c r="A10" s="3" t="s">
        <v>67</v>
      </c>
      <c r="B10" s="3" t="s">
        <v>56</v>
      </c>
      <c r="C10" s="4" t="s">
        <v>46</v>
      </c>
    </row>
    <row r="11" spans="1:3" x14ac:dyDescent="0.3">
      <c r="A11" s="3" t="s">
        <v>68</v>
      </c>
      <c r="B11" s="3" t="s">
        <v>57</v>
      </c>
      <c r="C11" s="4" t="s">
        <v>47</v>
      </c>
    </row>
    <row r="12" spans="1:3" x14ac:dyDescent="0.3">
      <c r="A12" s="3" t="s">
        <v>59</v>
      </c>
      <c r="B12" s="3" t="s">
        <v>49</v>
      </c>
      <c r="C12" s="4" t="s">
        <v>80</v>
      </c>
    </row>
    <row r="13" spans="1:3" ht="31.2" x14ac:dyDescent="0.3">
      <c r="A13" s="10" t="s">
        <v>70</v>
      </c>
      <c r="B13" s="3" t="s">
        <v>69</v>
      </c>
      <c r="C13" s="8" t="s">
        <v>81</v>
      </c>
    </row>
    <row r="14" spans="1:3" x14ac:dyDescent="0.3">
      <c r="A14" s="3" t="s">
        <v>88</v>
      </c>
      <c r="B14" s="3" t="s">
        <v>89</v>
      </c>
      <c r="C14" s="4" t="s">
        <v>90</v>
      </c>
    </row>
    <row r="15" spans="1:3" x14ac:dyDescent="0.3">
      <c r="A15" s="3" t="s">
        <v>91</v>
      </c>
      <c r="B15" s="3" t="s">
        <v>92</v>
      </c>
      <c r="C15" s="4" t="s">
        <v>93</v>
      </c>
    </row>
    <row r="16" spans="1:3" x14ac:dyDescent="0.3">
      <c r="A16" s="3" t="s">
        <v>94</v>
      </c>
      <c r="B16" s="3" t="s">
        <v>95</v>
      </c>
      <c r="C16" s="4" t="s">
        <v>96</v>
      </c>
    </row>
    <row r="17" spans="1:3" x14ac:dyDescent="0.3">
      <c r="A17" s="3" t="s">
        <v>97</v>
      </c>
      <c r="B17" s="3" t="s">
        <v>98</v>
      </c>
      <c r="C17" s="4" t="s">
        <v>99</v>
      </c>
    </row>
    <row r="18" spans="1:3" x14ac:dyDescent="0.3">
      <c r="A18" s="3" t="s">
        <v>100</v>
      </c>
      <c r="B18" s="3" t="s">
        <v>101</v>
      </c>
      <c r="C18" s="4" t="s">
        <v>102</v>
      </c>
    </row>
    <row r="19" spans="1:3" x14ac:dyDescent="0.3">
      <c r="A19" s="3" t="s">
        <v>103</v>
      </c>
      <c r="B19" s="3" t="s">
        <v>104</v>
      </c>
      <c r="C19" s="4" t="s">
        <v>105</v>
      </c>
    </row>
    <row r="20" spans="1:3" x14ac:dyDescent="0.3">
      <c r="A20" s="3" t="s">
        <v>106</v>
      </c>
      <c r="B20" s="3" t="s">
        <v>107</v>
      </c>
      <c r="C20" s="4" t="s">
        <v>108</v>
      </c>
    </row>
    <row r="21" spans="1:3" x14ac:dyDescent="0.3">
      <c r="A21" s="3" t="s">
        <v>109</v>
      </c>
      <c r="B21" s="3" t="s">
        <v>110</v>
      </c>
      <c r="C21" s="4" t="s">
        <v>111</v>
      </c>
    </row>
  </sheetData>
  <phoneticPr fontId="3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Continuity Group</vt:lpstr>
      <vt:lpstr>Continuity Group for Primary</vt:lpstr>
      <vt:lpstr>Continuity Group for Granular</vt:lpstr>
      <vt:lpstr>Primary Values</vt:lpstr>
      <vt:lpstr>Granular Values</vt:lpstr>
      <vt:lpstr>Actuarial Data</vt:lpstr>
      <vt:lpstr>Primary Data Point Formulas</vt:lpstr>
      <vt:lpstr>Granular Data Point Formulas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Yath G</cp:lastModifiedBy>
  <dcterms:created xsi:type="dcterms:W3CDTF">2023-04-04T17:45:52Z</dcterms:created>
  <dcterms:modified xsi:type="dcterms:W3CDTF">2024-04-18T08:03:46Z</dcterms:modified>
</cp:coreProperties>
</file>