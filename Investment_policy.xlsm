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yathg\Desktop\AAC\"/>
    </mc:Choice>
  </mc:AlternateContent>
  <bookViews>
    <workbookView xWindow="0" yWindow="0" windowWidth="23040" windowHeight="9072" activeTab="3"/>
  </bookViews>
  <sheets>
    <sheet name="Question" sheetId="1" r:id="rId1"/>
    <sheet name="Example" sheetId="3" r:id="rId2"/>
    <sheet name="Price" sheetId="2" r:id="rId3"/>
    <sheet name="Equity Calculation" sheetId="7" r:id="rId4"/>
    <sheet name="Debt Calculation" sheetId="9" r:id="rId5"/>
    <sheet name="Steps &amp; Automation" sheetId="8" r:id="rId6"/>
  </sheets>
  <definedNames>
    <definedName name="_xlnm._FilterDatabase" localSheetId="2" hidden="1">Price!$A$1:$L$1000</definedName>
    <definedName name="Debt">Price!$J$1:$P$189</definedName>
    <definedName name="Debt_Calc">'Debt Calculation'!$A$1:$H$16</definedName>
    <definedName name="Equity">Price!$A$1:$H$189</definedName>
    <definedName name="Equity_Calc">'Equity Calculation'!$A$1:$H$16</definedName>
  </definedNames>
  <calcPr calcId="162913"/>
  <extLst>
    <ext uri="GoogleSheetsCustomDataVersion2">
      <go:sheetsCustomData xmlns:go="http://customooxmlschemas.google.com/" r:id="rId8" roundtripDataChecksum="fUcdbe7gI+iPa4FqzXmD6cUVbdK2G8hERz6DDSzqREE="/>
    </ext>
  </extLst>
</workbook>
</file>

<file path=xl/calcChain.xml><?xml version="1.0" encoding="utf-8"?>
<calcChain xmlns="http://schemas.openxmlformats.org/spreadsheetml/2006/main">
  <c r="E3" i="7" l="1"/>
  <c r="E3" i="9"/>
  <c r="M2" i="2"/>
  <c r="B8" i="9"/>
  <c r="B3" i="7"/>
  <c r="B3" i="9"/>
  <c r="B16" i="9" l="1"/>
  <c r="A16" i="9"/>
  <c r="D16" i="9" s="1"/>
  <c r="B15" i="9"/>
  <c r="A15" i="9"/>
  <c r="D15" i="9" s="1"/>
  <c r="B14" i="9"/>
  <c r="A14" i="9"/>
  <c r="D14" i="9" s="1"/>
  <c r="B13" i="9"/>
  <c r="A13" i="9"/>
  <c r="D13" i="9" s="1"/>
  <c r="B12" i="9"/>
  <c r="A12" i="9"/>
  <c r="D12" i="9" s="1"/>
  <c r="B11" i="9"/>
  <c r="A11" i="9"/>
  <c r="D11" i="9" s="1"/>
  <c r="B10" i="9"/>
  <c r="E10" i="9" s="1"/>
  <c r="A10" i="9"/>
  <c r="D10" i="9" s="1"/>
  <c r="B9" i="9"/>
  <c r="A9" i="9"/>
  <c r="D9" i="9" s="1"/>
  <c r="A8" i="9"/>
  <c r="D8" i="9" s="1"/>
  <c r="B7" i="9"/>
  <c r="A7" i="9"/>
  <c r="D7" i="9" s="1"/>
  <c r="B6" i="9"/>
  <c r="A6" i="9"/>
  <c r="D6" i="9" s="1"/>
  <c r="B5" i="9"/>
  <c r="A5" i="9"/>
  <c r="D5" i="9" s="1"/>
  <c r="B4" i="9"/>
  <c r="A4" i="9"/>
  <c r="D4" i="9" s="1"/>
  <c r="A3" i="9"/>
  <c r="D3" i="9" s="1"/>
  <c r="B2" i="9"/>
  <c r="A2" i="9"/>
  <c r="D2" i="9" s="1"/>
  <c r="B4" i="7"/>
  <c r="B5" i="7"/>
  <c r="B6" i="7"/>
  <c r="B7" i="7"/>
  <c r="B8" i="7"/>
  <c r="B9" i="7"/>
  <c r="B10" i="7"/>
  <c r="E10" i="7" s="1"/>
  <c r="B11" i="7"/>
  <c r="B12" i="7"/>
  <c r="B13" i="7"/>
  <c r="B14" i="7"/>
  <c r="B15" i="7"/>
  <c r="B16" i="7"/>
  <c r="B2" i="7"/>
  <c r="A14" i="7"/>
  <c r="D14" i="7" s="1"/>
  <c r="A15" i="7"/>
  <c r="D15" i="7" s="1"/>
  <c r="A16" i="7"/>
  <c r="D16" i="7" s="1"/>
  <c r="A13" i="7"/>
  <c r="D13" i="7" s="1"/>
  <c r="A11" i="7"/>
  <c r="D11" i="7" s="1"/>
  <c r="A12" i="7"/>
  <c r="D12" i="7" s="1"/>
  <c r="A10" i="7"/>
  <c r="D10" i="7" s="1"/>
  <c r="A9" i="7"/>
  <c r="D9" i="7" s="1"/>
  <c r="A8" i="7"/>
  <c r="D8" i="7" s="1"/>
  <c r="A7" i="7"/>
  <c r="D7" i="7" s="1"/>
  <c r="A6" i="7"/>
  <c r="D6" i="7" s="1"/>
  <c r="A5" i="7"/>
  <c r="D5" i="7" s="1"/>
  <c r="A4" i="7"/>
  <c r="D4" i="7" s="1"/>
  <c r="A3" i="7"/>
  <c r="A2" i="7"/>
  <c r="E2" i="9"/>
  <c r="D2" i="2"/>
  <c r="E2" i="2" s="1"/>
  <c r="F2" i="9" l="1"/>
  <c r="G2" i="9" s="1"/>
  <c r="E2" i="7"/>
  <c r="H2" i="9" l="1"/>
  <c r="F3" i="9"/>
  <c r="G3" i="9" s="1"/>
  <c r="E4" i="9" s="1"/>
  <c r="F47" i="1"/>
  <c r="F46" i="1"/>
  <c r="F45" i="1"/>
  <c r="E47" i="1"/>
  <c r="E46" i="1"/>
  <c r="E45" i="1"/>
  <c r="D47" i="1"/>
  <c r="C47" i="1"/>
  <c r="D46" i="1"/>
  <c r="C46" i="1"/>
  <c r="D45" i="1"/>
  <c r="C45" i="1"/>
  <c r="F4" i="9" l="1"/>
  <c r="G4" i="9" s="1"/>
  <c r="E5" i="9" s="1"/>
  <c r="H3" i="9"/>
  <c r="N2" i="2"/>
  <c r="J11" i="1"/>
  <c r="D3" i="7"/>
  <c r="D2" i="7"/>
  <c r="F2" i="7" s="1"/>
  <c r="G2" i="7" s="1"/>
  <c r="H4" i="9" l="1"/>
  <c r="F5" i="9"/>
  <c r="G5" i="9" s="1"/>
  <c r="E6" i="9" s="1"/>
  <c r="F3" i="7"/>
  <c r="G3" i="7" l="1"/>
  <c r="E4" i="7" s="1"/>
  <c r="F6" i="9"/>
  <c r="G6" i="9" s="1"/>
  <c r="E7" i="9" s="1"/>
  <c r="H5" i="9"/>
  <c r="F4" i="7" l="1"/>
  <c r="G4" i="7" s="1"/>
  <c r="E5" i="7" s="1"/>
  <c r="H6" i="9"/>
  <c r="F7" i="9"/>
  <c r="G7" i="9" s="1"/>
  <c r="E8" i="9" s="1"/>
  <c r="H2" i="7"/>
  <c r="F5" i="7" l="1"/>
  <c r="G5" i="7" s="1"/>
  <c r="E6" i="7" s="1"/>
  <c r="H7" i="9"/>
  <c r="F8" i="9"/>
  <c r="G8" i="9" s="1"/>
  <c r="E9" i="9" s="1"/>
  <c r="H8" i="9" l="1"/>
  <c r="F9" i="9"/>
  <c r="G9" i="9" s="1"/>
  <c r="H3" i="7"/>
  <c r="H9" i="9" l="1"/>
  <c r="F10" i="9"/>
  <c r="G10" i="9" s="1"/>
  <c r="E11" i="9" s="1"/>
  <c r="H10" i="9" l="1"/>
  <c r="F11" i="9"/>
  <c r="G11" i="9" s="1"/>
  <c r="E12" i="9" s="1"/>
  <c r="H4" i="7"/>
  <c r="F6" i="7" s="1"/>
  <c r="G6" i="7" s="1"/>
  <c r="E7" i="7" s="1"/>
  <c r="F7" i="7" l="1"/>
  <c r="G7" i="7" s="1"/>
  <c r="E8" i="7" s="1"/>
  <c r="H11" i="9"/>
  <c r="F12" i="9"/>
  <c r="G12" i="9" s="1"/>
  <c r="E13" i="9" s="1"/>
  <c r="F13" i="9" l="1"/>
  <c r="G13" i="9" s="1"/>
  <c r="E14" i="9" s="1"/>
  <c r="H12" i="9"/>
  <c r="H5" i="7"/>
  <c r="H13" i="9" l="1"/>
  <c r="F14" i="9"/>
  <c r="G14" i="9" s="1"/>
  <c r="E15" i="9" s="1"/>
  <c r="F8" i="7"/>
  <c r="G8" i="7" s="1"/>
  <c r="E9" i="7" s="1"/>
  <c r="H14" i="9" l="1"/>
  <c r="F15" i="9"/>
  <c r="G15" i="9" s="1"/>
  <c r="E16" i="9" s="1"/>
  <c r="H6" i="7"/>
  <c r="F16" i="9" l="1"/>
  <c r="G16" i="9" s="1"/>
  <c r="H16" i="9" s="1"/>
  <c r="H15" i="9"/>
  <c r="F9" i="7"/>
  <c r="G9" i="7" s="1"/>
  <c r="H7" i="7" l="1"/>
  <c r="F10" i="7" l="1"/>
  <c r="G10" i="7" s="1"/>
  <c r="E11" i="7" s="1"/>
  <c r="H9" i="7" l="1"/>
  <c r="F11" i="7" l="1"/>
  <c r="G11" i="7" s="1"/>
  <c r="E12" i="7" s="1"/>
  <c r="H8" i="7" l="1"/>
  <c r="F12" i="7" l="1"/>
  <c r="G12" i="7" s="1"/>
  <c r="E13" i="7" s="1"/>
  <c r="H10" i="7" l="1"/>
  <c r="F13" i="7" l="1"/>
  <c r="G13" i="7" s="1"/>
  <c r="E14" i="7" s="1"/>
  <c r="H11" i="7" l="1"/>
  <c r="F14" i="7" l="1"/>
  <c r="G14" i="7" s="1"/>
  <c r="E15" i="7" s="1"/>
  <c r="H12" i="7" l="1"/>
  <c r="F15" i="7" l="1"/>
  <c r="G15" i="7" s="1"/>
  <c r="E16" i="7" s="1"/>
  <c r="H13" i="7" l="1"/>
  <c r="F16" i="7" l="1"/>
  <c r="G16" i="7" s="1"/>
  <c r="H14" i="7" l="1"/>
  <c r="H15" i="7" l="1"/>
  <c r="H16" i="7" l="1"/>
</calcChain>
</file>

<file path=xl/sharedStrings.xml><?xml version="1.0" encoding="utf-8"?>
<sst xmlns="http://schemas.openxmlformats.org/spreadsheetml/2006/main" count="555" uniqueCount="77">
  <si>
    <t xml:space="preserve">For automation purpose, </t>
  </si>
  <si>
    <t xml:space="preserve">Please automate your example case such that if the test case number in your  worked out example is updated, it creates the policy lifescyle for the corresponding policy holder </t>
  </si>
  <si>
    <t>Test Case</t>
  </si>
  <si>
    <t>Policy Holder</t>
  </si>
  <si>
    <t>Start Date</t>
  </si>
  <si>
    <t>End Date</t>
  </si>
  <si>
    <t>Premium</t>
  </si>
  <si>
    <t>Allocation</t>
  </si>
  <si>
    <t>Equity Investment %</t>
  </si>
  <si>
    <t>Debt Investment %</t>
  </si>
  <si>
    <t>Equity Charge %</t>
  </si>
  <si>
    <t>Debt Charge %</t>
  </si>
  <si>
    <t>Withdrawal %/Amount</t>
  </si>
  <si>
    <t>Withdrawal Frequency</t>
  </si>
  <si>
    <t>Michael</t>
  </si>
  <si>
    <t>$50000</t>
  </si>
  <si>
    <t>0.40% per annum</t>
  </si>
  <si>
    <t>0.60% per annum</t>
  </si>
  <si>
    <t>0.75% per month</t>
  </si>
  <si>
    <t>Monthly</t>
  </si>
  <si>
    <t>Jack</t>
  </si>
  <si>
    <t>$78000</t>
  </si>
  <si>
    <t>0.50% per annum</t>
  </si>
  <si>
    <t>$ 100</t>
  </si>
  <si>
    <t>Nick</t>
  </si>
  <si>
    <t>$100000</t>
  </si>
  <si>
    <t>0.30% per annum</t>
  </si>
  <si>
    <t>1%  per quarter</t>
  </si>
  <si>
    <t>Quarterly</t>
  </si>
  <si>
    <t>Date</t>
  </si>
  <si>
    <t>Fund</t>
  </si>
  <si>
    <t>Price</t>
  </si>
  <si>
    <t>Equity</t>
  </si>
  <si>
    <t>Debt</t>
  </si>
  <si>
    <t>Transaction/Price Date</t>
  </si>
  <si>
    <t>Description</t>
  </si>
  <si>
    <t>MonetaryAmount</t>
  </si>
  <si>
    <t>Units</t>
  </si>
  <si>
    <t>BalanceUNits</t>
  </si>
  <si>
    <t>BalanceAmount</t>
  </si>
  <si>
    <t>Buy Units into the policy</t>
  </si>
  <si>
    <t>Fund X</t>
  </si>
  <si>
    <t>Fund Y</t>
  </si>
  <si>
    <t>Regular Withdrawal</t>
  </si>
  <si>
    <t>Adhoc Charge on Regular Withdrawal</t>
  </si>
  <si>
    <t>End of Month Charge</t>
  </si>
  <si>
    <t>Transaction</t>
  </si>
  <si>
    <t>Balance Units</t>
  </si>
  <si>
    <t>Premium Allocated</t>
  </si>
  <si>
    <t>Actions Taken:</t>
  </si>
  <si>
    <t>Removed Duplicates and aligned Debt and equity data</t>
  </si>
  <si>
    <t>Calculated Investments as per premium allocations</t>
  </si>
  <si>
    <t>Monetary Amount</t>
  </si>
  <si>
    <t>Balance Amount</t>
  </si>
  <si>
    <t>Created Name Ranges Equity and Debt</t>
  </si>
  <si>
    <t>Maintenance charge</t>
  </si>
  <si>
    <t>Exits the Policy</t>
  </si>
  <si>
    <t>Tab</t>
  </si>
  <si>
    <t>Equity Calculation</t>
  </si>
  <si>
    <t>Calculated Unit movements for Equity</t>
  </si>
  <si>
    <t>Debt Calculation</t>
  </si>
  <si>
    <t>Calculated Unit movements for Debt</t>
  </si>
  <si>
    <t>Automation</t>
  </si>
  <si>
    <t>Premium Allocated Equity</t>
  </si>
  <si>
    <t>Premium Allocated Debt</t>
  </si>
  <si>
    <t>Equity Charge per month</t>
  </si>
  <si>
    <t>Debt Charge per month</t>
  </si>
  <si>
    <t>Withdrawal Amount</t>
  </si>
  <si>
    <t>Click Below Buttons to find:</t>
  </si>
  <si>
    <t>Balance Reconciled</t>
  </si>
  <si>
    <t>Select Case</t>
  </si>
  <si>
    <t>Automation Cell</t>
  </si>
  <si>
    <t>Change cases under case column in Question Tab</t>
  </si>
  <si>
    <t>All right! I have done the equation Tab using Formulae and VBA Macros</t>
  </si>
  <si>
    <t>Debt has same process but doing it will not bring any extra skills.</t>
  </si>
  <si>
    <t>So in short I have conquered this test</t>
  </si>
  <si>
    <t>All Solved but the VBA sometimes goes wonky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</si>
</sst>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 #,##0.00_ ;_ * \-#,##0.00_ ;_ * &quot;-&quot;??_ ;_ @_ "/>
    <numFmt numFmtId="164" formatCode="d/m/yyyy"/>
    <numFmt numFmtId="165" formatCode="_ * #,##0.0_ ;_ * \-#,##0.0_ ;_ * &quot;-&quot;??_ ;_ @_ "/>
    <numFmt numFmtId="166" formatCode="_ * #,##0_ ;_ * \-#,##0_ ;_ * &quot;-&quot;??_ ;_ @_ "/>
    <numFmt numFmtId="167" formatCode="&quot;₹&quot;\ #,##0.00"/>
  </numFmts>
  <fonts count="9" x14ac:knownFonts="1">
    <font>
      <sz val="11"/>
      <color theme="1"/>
      <name val="Calibri"/>
      <scheme val="minor"/>
    </font>
    <font>
      <b/>
      <sz val="11"/>
      <color theme="1"/>
      <name val="Calibri"/>
    </font>
    <font>
      <sz val="11"/>
      <color theme="1"/>
      <name val="Calibri"/>
    </font>
    <font>
      <i/>
      <sz val="11"/>
      <color theme="1"/>
      <name val="Calibri"/>
    </font>
    <font>
      <sz val="12"/>
      <color rgb="FF202124"/>
      <name val="Arial"/>
    </font>
    <font>
      <sz val="11"/>
      <color theme="1"/>
      <name val="Calibri"/>
      <scheme val="minor"/>
    </font>
    <font>
      <sz val="11"/>
      <color rgb="FF006100"/>
      <name val="Calibri"/>
      <family val="2"/>
      <scheme val="minor"/>
    </font>
    <font>
      <sz val="11"/>
      <color rgb="FF9C6500"/>
      <name val="Calibri"/>
      <family val="2"/>
      <scheme val="minor"/>
    </font>
    <font>
      <sz val="11"/>
      <color theme="0"/>
      <name val="Calibri"/>
      <family val="2"/>
      <scheme val="minor"/>
    </font>
  </fonts>
  <fills count="11">
    <fill>
      <patternFill patternType="none"/>
    </fill>
    <fill>
      <patternFill patternType="gray125"/>
    </fill>
    <fill>
      <patternFill patternType="solid">
        <fgColor rgb="FFFFFF00"/>
        <bgColor rgb="FFFFFF00"/>
      </patternFill>
    </fill>
    <fill>
      <patternFill patternType="solid">
        <fgColor rgb="FFFFFFFF"/>
        <bgColor rgb="FFFFFFFF"/>
      </patternFill>
    </fill>
    <fill>
      <patternFill patternType="solid">
        <fgColor rgb="FFE7E6E6"/>
        <bgColor rgb="FFE7E6E6"/>
      </patternFill>
    </fill>
    <fill>
      <patternFill patternType="solid">
        <fgColor rgb="FFFFFF00"/>
        <bgColor indexed="64"/>
      </patternFill>
    </fill>
    <fill>
      <patternFill patternType="solid">
        <fgColor theme="5" tint="0.59999389629810485"/>
        <bgColor indexed="64"/>
      </patternFill>
    </fill>
    <fill>
      <patternFill patternType="solid">
        <fgColor rgb="FFC6EFCE"/>
      </patternFill>
    </fill>
    <fill>
      <patternFill patternType="solid">
        <fgColor rgb="FFFFEB9C"/>
      </patternFill>
    </fill>
    <fill>
      <patternFill patternType="solid">
        <fgColor theme="9"/>
      </patternFill>
    </fill>
    <fill>
      <patternFill patternType="solid">
        <fgColor theme="4" tint="0.39997558519241921"/>
        <bgColor indexed="64"/>
      </patternFill>
    </fill>
  </fills>
  <borders count="5">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5">
    <xf numFmtId="0" fontId="0" fillId="0" borderId="0"/>
    <xf numFmtId="43" fontId="5" fillId="0" borderId="0" applyFont="0" applyFill="0" applyBorder="0" applyAlignment="0" applyProtection="0"/>
    <xf numFmtId="0" fontId="6" fillId="7" borderId="0" applyNumberFormat="0" applyBorder="0" applyAlignment="0" applyProtection="0"/>
    <xf numFmtId="0" fontId="7" fillId="8" borderId="0" applyNumberFormat="0" applyBorder="0" applyAlignment="0" applyProtection="0"/>
    <xf numFmtId="0" fontId="8" fillId="9" borderId="0" applyNumberFormat="0" applyBorder="0" applyAlignment="0" applyProtection="0"/>
  </cellStyleXfs>
  <cellXfs count="42">
    <xf numFmtId="0" fontId="0" fillId="0" borderId="0" xfId="0"/>
    <xf numFmtId="0" fontId="1" fillId="2" borderId="0" xfId="0" applyFont="1" applyFill="1"/>
    <xf numFmtId="0" fontId="2" fillId="0" borderId="0" xfId="0" applyFont="1"/>
    <xf numFmtId="0" fontId="2" fillId="0" borderId="1" xfId="0" applyFont="1" applyBorder="1"/>
    <xf numFmtId="14" fontId="2" fillId="0" borderId="1" xfId="0" applyNumberFormat="1" applyFont="1" applyBorder="1"/>
    <xf numFmtId="9" fontId="2" fillId="0" borderId="1" xfId="0" applyNumberFormat="1" applyFont="1" applyBorder="1"/>
    <xf numFmtId="164" fontId="2" fillId="0" borderId="1" xfId="0" applyNumberFormat="1" applyFont="1" applyBorder="1"/>
    <xf numFmtId="4" fontId="2" fillId="0" borderId="0" xfId="0" applyNumberFormat="1" applyFont="1"/>
    <xf numFmtId="4" fontId="4" fillId="3" borderId="0" xfId="0" applyNumberFormat="1" applyFont="1" applyFill="1" applyAlignment="1">
      <alignment horizontal="left"/>
    </xf>
    <xf numFmtId="164" fontId="2" fillId="0" borderId="0" xfId="0" applyNumberFormat="1" applyFont="1"/>
    <xf numFmtId="164" fontId="1" fillId="4" borderId="1" xfId="0" applyNumberFormat="1" applyFont="1" applyFill="1" applyBorder="1"/>
    <xf numFmtId="0" fontId="1" fillId="4" borderId="1" xfId="0" applyFont="1" applyFill="1" applyBorder="1"/>
    <xf numFmtId="0" fontId="1" fillId="0" borderId="0" xfId="0" applyFont="1"/>
    <xf numFmtId="4" fontId="2" fillId="0" borderId="1" xfId="0" applyNumberFormat="1" applyFont="1" applyBorder="1"/>
    <xf numFmtId="0" fontId="0" fillId="5" borderId="0" xfId="0" applyFill="1"/>
    <xf numFmtId="2" fontId="0" fillId="0" borderId="0" xfId="0" applyNumberFormat="1"/>
    <xf numFmtId="43" fontId="0" fillId="0" borderId="0" xfId="1" applyFont="1"/>
    <xf numFmtId="43" fontId="0" fillId="0" borderId="0" xfId="0" applyNumberFormat="1"/>
    <xf numFmtId="164" fontId="1" fillId="4" borderId="2" xfId="0" applyNumberFormat="1" applyFont="1" applyFill="1" applyBorder="1"/>
    <xf numFmtId="14" fontId="0" fillId="0" borderId="2" xfId="0" applyNumberFormat="1" applyBorder="1"/>
    <xf numFmtId="0" fontId="0" fillId="0" borderId="2" xfId="0" applyBorder="1"/>
    <xf numFmtId="43" fontId="0" fillId="0" borderId="2" xfId="1" applyFont="1" applyBorder="1"/>
    <xf numFmtId="43" fontId="0" fillId="0" borderId="2" xfId="0" applyNumberFormat="1" applyBorder="1"/>
    <xf numFmtId="166" fontId="0" fillId="0" borderId="0" xfId="1" applyNumberFormat="1" applyFont="1"/>
    <xf numFmtId="165" fontId="0" fillId="0" borderId="0" xfId="0" applyNumberFormat="1"/>
    <xf numFmtId="166" fontId="0" fillId="0" borderId="0" xfId="0" applyNumberFormat="1"/>
    <xf numFmtId="0" fontId="0" fillId="6" borderId="0" xfId="0" applyFill="1"/>
    <xf numFmtId="0" fontId="7" fillId="8" borderId="0" xfId="3"/>
    <xf numFmtId="43" fontId="8" fillId="9" borderId="0" xfId="4" applyNumberFormat="1"/>
    <xf numFmtId="167" fontId="2" fillId="0" borderId="1" xfId="0" applyNumberFormat="1" applyFont="1" applyBorder="1"/>
    <xf numFmtId="167" fontId="2" fillId="0" borderId="0" xfId="0" applyNumberFormat="1" applyFont="1" applyFill="1" applyBorder="1"/>
    <xf numFmtId="0" fontId="2" fillId="0" borderId="0" xfId="0" applyNumberFormat="1" applyFont="1" applyFill="1" applyBorder="1"/>
    <xf numFmtId="14" fontId="3" fillId="0" borderId="0" xfId="0" applyNumberFormat="1" applyFont="1"/>
    <xf numFmtId="14" fontId="2" fillId="0" borderId="0" xfId="0" applyNumberFormat="1" applyFont="1"/>
    <xf numFmtId="14" fontId="0" fillId="0" borderId="0" xfId="0" applyNumberFormat="1"/>
    <xf numFmtId="0" fontId="0" fillId="10" borderId="0" xfId="0" applyFill="1"/>
    <xf numFmtId="0" fontId="0" fillId="0" borderId="3" xfId="0" applyFill="1" applyBorder="1"/>
    <xf numFmtId="43" fontId="0" fillId="0" borderId="3" xfId="0" applyNumberFormat="1" applyFill="1" applyBorder="1"/>
    <xf numFmtId="0" fontId="0" fillId="0" borderId="2" xfId="0" applyFill="1" applyBorder="1"/>
    <xf numFmtId="14" fontId="0" fillId="0" borderId="4" xfId="0" applyNumberFormat="1" applyBorder="1"/>
    <xf numFmtId="2" fontId="6" fillId="7" borderId="0" xfId="2" applyNumberFormat="1"/>
    <xf numFmtId="43" fontId="0" fillId="0" borderId="0" xfId="1" applyNumberFormat="1" applyFont="1"/>
  </cellXfs>
  <cellStyles count="5">
    <cellStyle name="Accent6" xfId="4" builtinId="49"/>
    <cellStyle name="Comma" xfId="1" builtinId="3"/>
    <cellStyle name="Good" xfId="2" builtinId="26"/>
    <cellStyle name="Neutral" xfId="3"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oneCellAnchor>
    <xdr:from>
      <xdr:col>0</xdr:col>
      <xdr:colOff>104775</xdr:colOff>
      <xdr:row>0</xdr:row>
      <xdr:rowOff>104775</xdr:rowOff>
    </xdr:from>
    <xdr:ext cx="10706100" cy="6477000"/>
    <xdr:sp macro="" textlink="">
      <xdr:nvSpPr>
        <xdr:cNvPr id="3" name="Shape 3">
          <a:extLst>
            <a:ext uri="{FF2B5EF4-FFF2-40B4-BE49-F238E27FC236}">
              <a16:creationId xmlns:a16="http://schemas.microsoft.com/office/drawing/2014/main" id="{00000000-0008-0000-0000-000003000000}"/>
            </a:ext>
          </a:extLst>
        </xdr:cNvPr>
        <xdr:cNvSpPr txBox="1"/>
      </xdr:nvSpPr>
      <xdr:spPr>
        <a:xfrm>
          <a:off x="0" y="546263"/>
          <a:ext cx="10692000" cy="6467475"/>
        </a:xfrm>
        <a:prstGeom prst="rect">
          <a:avLst/>
        </a:prstGeom>
        <a:solidFill>
          <a:srgbClr val="D8D8D8"/>
        </a:solidFill>
        <a:ln w="12700" cap="flat" cmpd="sng">
          <a:solidFill>
            <a:schemeClr val="accent2"/>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    Michael invested into an investment policy on  25/09/2022 which is due to mature on 31/03/2023. Policy details are as below:</a:t>
          </a:r>
          <a:endParaRPr sz="140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Premium invested: $50000</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Premium Allocated: 103%</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Investment %:</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     Equity Fund: 40%</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     Debt Fund: 60%</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Monthly Regular Withdrawal: 0.75% per month deducted on every 1st of the month</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Maintenance/management Charge: deducted on every monthiversary</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     Equity Fund: 0.60% per annum</a:t>
          </a:r>
          <a:endParaRPr sz="105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     Debt Fund: 0.10% per annum</a:t>
          </a:r>
          <a:endParaRPr sz="1050"/>
        </a:p>
        <a:p>
          <a:pPr marL="0" lvl="0" indent="0" algn="l" rtl="0">
            <a:spcBef>
              <a:spcPts val="0"/>
            </a:spcBef>
            <a:spcAft>
              <a:spcPts val="0"/>
            </a:spcAft>
            <a:buSzPts val="1050"/>
            <a:buFont typeface="Arial"/>
            <a:buNone/>
          </a:pPr>
          <a:endParaRPr sz="105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b="1">
              <a:solidFill>
                <a:schemeClr val="dk1"/>
              </a:solidFill>
              <a:latin typeface="Calibri"/>
              <a:ea typeface="Calibri"/>
              <a:cs typeface="Calibri"/>
              <a:sym typeface="Calibri"/>
            </a:rPr>
            <a:t>Allocation </a:t>
          </a:r>
          <a:r>
            <a:rPr lang="en-US" sz="1050">
              <a:solidFill>
                <a:schemeClr val="dk1"/>
              </a:solidFill>
              <a:latin typeface="Calibri"/>
              <a:ea typeface="Calibri"/>
              <a:cs typeface="Calibri"/>
              <a:sym typeface="Calibri"/>
            </a:rPr>
            <a:t>of funds into the policy is based on monetary amounts and should be equal to premium allocated. Units corresponding to the same is calculated by dividing the amount by the current price. </a:t>
          </a:r>
          <a:endParaRPr sz="105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b="1">
              <a:solidFill>
                <a:schemeClr val="dk1"/>
              </a:solidFill>
              <a:latin typeface="Calibri"/>
              <a:ea typeface="Calibri"/>
              <a:cs typeface="Calibri"/>
              <a:sym typeface="Calibri"/>
            </a:rPr>
            <a:t>Regular withdrawal- </a:t>
          </a:r>
          <a:r>
            <a:rPr lang="en-US" sz="1050">
              <a:solidFill>
                <a:schemeClr val="dk1"/>
              </a:solidFill>
              <a:latin typeface="Calibri"/>
              <a:ea typeface="Calibri"/>
              <a:cs typeface="Calibri"/>
              <a:sym typeface="Calibri"/>
            </a:rPr>
            <a:t>A percentage calculated on the total policy value as on the withdrawal date, rounded as required and deducted across the funds based on the proportion of current fund values. Fixed amount regular withdrawal is directly deducted across funds based on current fund proportions</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The policy has a minimum withdrawal condition where if the client has not taken out a minimum 4% withdrawal as on 31st of December, the balance amount is reconciled and adjusted in the following month’s regular withdrawal.</a:t>
          </a:r>
          <a:endParaRPr sz="140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b="1">
              <a:solidFill>
                <a:schemeClr val="dk1"/>
              </a:solidFill>
              <a:latin typeface="Calibri"/>
              <a:ea typeface="Calibri"/>
              <a:cs typeface="Calibri"/>
              <a:sym typeface="Calibri"/>
            </a:rPr>
            <a:t>Charges-</a:t>
          </a:r>
          <a:r>
            <a:rPr lang="en-US" sz="1050">
              <a:solidFill>
                <a:schemeClr val="dk1"/>
              </a:solidFill>
              <a:latin typeface="Calibri"/>
              <a:ea typeface="Calibri"/>
              <a:cs typeface="Calibri"/>
              <a:sym typeface="Calibri"/>
            </a:rPr>
            <a:t> Calculated separately for each fund based on the  exact number of days the fund is invested during each charge period. Charges are calculated on the individual fund monetary value as on charge date</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Any disinvestment / withdrawal from the policy would would have an adhoc charge on the disinvested monetary amount for the number of days for which the money is invested in the fund/since last EoM chare date. .</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Number of days for end of month charge=Charge date-policy start date if its the first month and last end of month charge date for subsequent months</a:t>
          </a:r>
          <a:endParaRPr sz="140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Number of days fo adhoc charge=Charge date-policy start date if its the first month and last end of month charge date for subsequent months</a:t>
          </a:r>
          <a:endParaRPr sz="140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b="1">
              <a:solidFill>
                <a:schemeClr val="dk1"/>
              </a:solidFill>
              <a:latin typeface="Calibri"/>
              <a:ea typeface="Calibri"/>
              <a:cs typeface="Calibri"/>
              <a:sym typeface="Calibri"/>
            </a:rPr>
            <a:t>Rounding- </a:t>
          </a:r>
          <a:r>
            <a:rPr lang="en-US" sz="1050">
              <a:solidFill>
                <a:schemeClr val="dk1"/>
              </a:solidFill>
              <a:latin typeface="Calibri"/>
              <a:ea typeface="Calibri"/>
              <a:cs typeface="Calibri"/>
              <a:sym typeface="Calibri"/>
            </a:rPr>
            <a:t>Monetary amounts and units must be rounded to nearest two decimals.</a:t>
          </a:r>
          <a:endParaRPr sz="140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b="1">
              <a:solidFill>
                <a:schemeClr val="dk1"/>
              </a:solidFill>
              <a:latin typeface="Calibri"/>
              <a:ea typeface="Calibri"/>
              <a:cs typeface="Calibri"/>
              <a:sym typeface="Calibri"/>
            </a:rPr>
            <a:t>Policy value </a:t>
          </a:r>
          <a:r>
            <a:rPr lang="en-US" sz="1050">
              <a:solidFill>
                <a:schemeClr val="dk1"/>
              </a:solidFill>
              <a:latin typeface="Calibri"/>
              <a:ea typeface="Calibri"/>
              <a:cs typeface="Calibri"/>
              <a:sym typeface="Calibri"/>
            </a:rPr>
            <a:t>= Total of current fund monetary values.</a:t>
          </a:r>
          <a:endParaRPr sz="140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b="1">
              <a:solidFill>
                <a:schemeClr val="dk1"/>
              </a:solidFill>
              <a:latin typeface="Calibri"/>
              <a:ea typeface="Calibri"/>
              <a:cs typeface="Calibri"/>
              <a:sym typeface="Calibri"/>
            </a:rPr>
            <a:t>Prices </a:t>
          </a:r>
          <a:r>
            <a:rPr lang="en-US" sz="1050">
              <a:solidFill>
                <a:schemeClr val="dk1"/>
              </a:solidFill>
              <a:latin typeface="Calibri"/>
              <a:ea typeface="Calibri"/>
              <a:cs typeface="Calibri"/>
              <a:sym typeface="Calibri"/>
            </a:rPr>
            <a:t>for the funds are available in Price tab</a:t>
          </a:r>
          <a:endParaRPr sz="105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All transactions are calculated on </a:t>
          </a:r>
          <a:r>
            <a:rPr lang="en-US" sz="1050" b="1">
              <a:solidFill>
                <a:schemeClr val="dk1"/>
              </a:solidFill>
              <a:latin typeface="Calibri"/>
              <a:ea typeface="Calibri"/>
              <a:cs typeface="Calibri"/>
              <a:sym typeface="Calibri"/>
            </a:rPr>
            <a:t>current price and unit balance </a:t>
          </a:r>
          <a:r>
            <a:rPr lang="en-US" sz="1050">
              <a:solidFill>
                <a:schemeClr val="dk1"/>
              </a:solidFill>
              <a:latin typeface="Calibri"/>
              <a:ea typeface="Calibri"/>
              <a:cs typeface="Calibri"/>
              <a:sym typeface="Calibri"/>
            </a:rPr>
            <a:t>from last transaction. </a:t>
          </a:r>
          <a:endParaRPr sz="140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Example tab in this spreadsheet has an example of how the unit movements should look like throughout a policy life cycle for a similar policy.</a:t>
          </a:r>
          <a:endParaRPr sz="1400"/>
        </a:p>
        <a:p>
          <a:pPr marL="0" lvl="0" indent="0" algn="l" rtl="0">
            <a:spcBef>
              <a:spcPts val="0"/>
            </a:spcBef>
            <a:spcAft>
              <a:spcPts val="0"/>
            </a:spcAft>
            <a:buSzPts val="1050"/>
            <a:buFont typeface="Arial"/>
            <a:buNone/>
          </a:pPr>
          <a:endParaRPr sz="1050"/>
        </a:p>
        <a:p>
          <a:pPr marL="0" lvl="0" indent="0" algn="l" rtl="0">
            <a:spcBef>
              <a:spcPts val="0"/>
            </a:spcBef>
            <a:spcAft>
              <a:spcPts val="0"/>
            </a:spcAft>
            <a:buClr>
              <a:schemeClr val="dk1"/>
            </a:buClr>
            <a:buSzPts val="1050"/>
            <a:buFont typeface="Calibri"/>
            <a:buNone/>
          </a:pPr>
          <a:r>
            <a:rPr lang="en-US" sz="1050">
              <a:solidFill>
                <a:schemeClr val="dk1"/>
              </a:solidFill>
              <a:latin typeface="Calibri"/>
              <a:ea typeface="Calibri"/>
              <a:cs typeface="Calibri"/>
              <a:sym typeface="Calibri"/>
            </a:rPr>
            <a:t>Please create the unit movements for Michael’s policy in the given format.</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twoCellAnchor>
    <xdr:from>
      <xdr:col>9</xdr:col>
      <xdr:colOff>274320</xdr:colOff>
      <xdr:row>1</xdr:row>
      <xdr:rowOff>76200</xdr:rowOff>
    </xdr:from>
    <xdr:to>
      <xdr:col>13</xdr:col>
      <xdr:colOff>396240</xdr:colOff>
      <xdr:row>5</xdr:row>
      <xdr:rowOff>15240</xdr:rowOff>
    </xdr:to>
    <xdr:sp macro="[0]!Monetary_Reset.Monetary_Reset" textlink="">
      <xdr:nvSpPr>
        <xdr:cNvPr id="2" name="Rounded Rectangle 1"/>
        <xdr:cNvSpPr/>
      </xdr:nvSpPr>
      <xdr:spPr>
        <a:xfrm>
          <a:off x="8724900" y="259080"/>
          <a:ext cx="2560320" cy="6705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a:p>
          <a:pPr algn="l"/>
          <a:r>
            <a:rPr lang="en-IN" sz="1600"/>
            <a:t> Michael Formulae Macro</a:t>
          </a:r>
        </a:p>
        <a:p>
          <a:pPr algn="l"/>
          <a:endParaRPr lang="en-IN" sz="1600"/>
        </a:p>
      </xdr:txBody>
    </xdr:sp>
    <xdr:clientData/>
  </xdr:twoCellAnchor>
  <xdr:twoCellAnchor>
    <xdr:from>
      <xdr:col>9</xdr:col>
      <xdr:colOff>259080</xdr:colOff>
      <xdr:row>6</xdr:row>
      <xdr:rowOff>15240</xdr:rowOff>
    </xdr:from>
    <xdr:to>
      <xdr:col>13</xdr:col>
      <xdr:colOff>358140</xdr:colOff>
      <xdr:row>9</xdr:row>
      <xdr:rowOff>175260</xdr:rowOff>
    </xdr:to>
    <xdr:sp macro="[0]!Monetary_Reset2.Monetary_Reset2" textlink="">
      <xdr:nvSpPr>
        <xdr:cNvPr id="3" name="Rounded Rectangle 2"/>
        <xdr:cNvSpPr/>
      </xdr:nvSpPr>
      <xdr:spPr>
        <a:xfrm>
          <a:off x="8709660" y="1112520"/>
          <a:ext cx="2537460" cy="7086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r>
            <a:rPr lang="en-IN" sz="1600"/>
            <a:t>     Jack Formulae Macro</a:t>
          </a:r>
        </a:p>
      </xdr:txBody>
    </xdr:sp>
    <xdr:clientData/>
  </xdr:twoCellAnchor>
  <xdr:twoCellAnchor>
    <xdr:from>
      <xdr:col>9</xdr:col>
      <xdr:colOff>281940</xdr:colOff>
      <xdr:row>11</xdr:row>
      <xdr:rowOff>15240</xdr:rowOff>
    </xdr:from>
    <xdr:to>
      <xdr:col>13</xdr:col>
      <xdr:colOff>426720</xdr:colOff>
      <xdr:row>15</xdr:row>
      <xdr:rowOff>7620</xdr:rowOff>
    </xdr:to>
    <xdr:sp macro="[0]!Monetary_Reset3.Monetary_Reset3" textlink="">
      <xdr:nvSpPr>
        <xdr:cNvPr id="4" name="Rounded Rectangle 3"/>
        <xdr:cNvSpPr/>
      </xdr:nvSpPr>
      <xdr:spPr>
        <a:xfrm>
          <a:off x="8732520" y="2026920"/>
          <a:ext cx="2583180" cy="723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a:p>
          <a:pPr algn="l"/>
          <a:r>
            <a:rPr lang="en-IN" sz="1600"/>
            <a:t>     Nick Formulae</a:t>
          </a:r>
          <a:r>
            <a:rPr lang="en-IN" sz="1600" baseline="0"/>
            <a:t> Macro</a:t>
          </a:r>
          <a:endParaRPr lang="en-IN"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388620</xdr:colOff>
      <xdr:row>6</xdr:row>
      <xdr:rowOff>45720</xdr:rowOff>
    </xdr:from>
    <xdr:to>
      <xdr:col>15</xdr:col>
      <xdr:colOff>411480</xdr:colOff>
      <xdr:row>9</xdr:row>
      <xdr:rowOff>175260</xdr:rowOff>
    </xdr:to>
    <xdr:sp macro="[0]!Money_Reset2.Money_Reset2" textlink="">
      <xdr:nvSpPr>
        <xdr:cNvPr id="2" name="Rounded Rectangle 1"/>
        <xdr:cNvSpPr/>
      </xdr:nvSpPr>
      <xdr:spPr>
        <a:xfrm>
          <a:off x="8435340" y="1143000"/>
          <a:ext cx="3070860" cy="67818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a:p>
          <a:pPr algn="l"/>
          <a:r>
            <a:rPr lang="en-IN" sz="1600"/>
            <a:t>      </a:t>
          </a:r>
          <a:r>
            <a:rPr lang="en-IN" sz="1600" baseline="0"/>
            <a:t>  </a:t>
          </a:r>
          <a:r>
            <a:rPr lang="en-IN" sz="1600"/>
            <a:t>Jack's Monetary</a:t>
          </a:r>
          <a:r>
            <a:rPr lang="en-IN" sz="1600" baseline="0"/>
            <a:t> Formula</a:t>
          </a:r>
        </a:p>
      </xdr:txBody>
    </xdr:sp>
    <xdr:clientData/>
  </xdr:twoCellAnchor>
  <xdr:twoCellAnchor>
    <xdr:from>
      <xdr:col>10</xdr:col>
      <xdr:colOff>449580</xdr:colOff>
      <xdr:row>1</xdr:row>
      <xdr:rowOff>99060</xdr:rowOff>
    </xdr:from>
    <xdr:to>
      <xdr:col>15</xdr:col>
      <xdr:colOff>411480</xdr:colOff>
      <xdr:row>5</xdr:row>
      <xdr:rowOff>83820</xdr:rowOff>
    </xdr:to>
    <xdr:sp macro="[0]!Money_Reset.Money_Reset" textlink="">
      <xdr:nvSpPr>
        <xdr:cNvPr id="3" name="Rounded Rectangle 2"/>
        <xdr:cNvSpPr/>
      </xdr:nvSpPr>
      <xdr:spPr>
        <a:xfrm>
          <a:off x="8496300" y="281940"/>
          <a:ext cx="3009900" cy="71628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IN" sz="1100"/>
            <a:t> </a:t>
          </a:r>
        </a:p>
        <a:p>
          <a:pPr algn="l"/>
          <a:r>
            <a:rPr lang="en-IN" sz="1800"/>
            <a:t> Michael's Monetary Formula</a:t>
          </a:r>
        </a:p>
        <a:p>
          <a:pPr algn="l"/>
          <a:endParaRPr lang="en-IN" sz="1100"/>
        </a:p>
      </xdr:txBody>
    </xdr:sp>
    <xdr:clientData/>
  </xdr:twoCellAnchor>
  <xdr:twoCellAnchor>
    <xdr:from>
      <xdr:col>10</xdr:col>
      <xdr:colOff>441960</xdr:colOff>
      <xdr:row>11</xdr:row>
      <xdr:rowOff>0</xdr:rowOff>
    </xdr:from>
    <xdr:to>
      <xdr:col>15</xdr:col>
      <xdr:colOff>342900</xdr:colOff>
      <xdr:row>13</xdr:row>
      <xdr:rowOff>68580</xdr:rowOff>
    </xdr:to>
    <xdr:sp macro="[0]!Money_Reset3.Money_Reset3" textlink="">
      <xdr:nvSpPr>
        <xdr:cNvPr id="4" name="Rounded Rectangle 3"/>
        <xdr:cNvSpPr/>
      </xdr:nvSpPr>
      <xdr:spPr>
        <a:xfrm>
          <a:off x="8488680" y="2011680"/>
          <a:ext cx="2948940" cy="43434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IN" sz="1800"/>
            <a:t> </a:t>
          </a:r>
          <a:r>
            <a:rPr lang="en-IN" sz="1800" baseline="0"/>
            <a:t>   </a:t>
          </a:r>
          <a:r>
            <a:rPr lang="en-IN" sz="1800"/>
            <a:t>Nick's</a:t>
          </a:r>
          <a:r>
            <a:rPr lang="en-IN" sz="1800" baseline="0"/>
            <a:t> Monetary Formula</a:t>
          </a:r>
          <a:endParaRPr lang="en-IN" sz="1800"/>
        </a:p>
      </xdr:txBody>
    </xdr: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1:L1000"/>
  <sheetViews>
    <sheetView showGridLines="0" topLeftCell="A30" zoomScaleNormal="100" workbookViewId="0">
      <selection activeCell="I45" sqref="I45"/>
    </sheetView>
  </sheetViews>
  <sheetFormatPr defaultColWidth="14.44140625" defaultRowHeight="15" customHeight="1" x14ac:dyDescent="0.3"/>
  <cols>
    <col min="1" max="1" width="36.5546875" customWidth="1"/>
    <col min="2" max="2" width="21" customWidth="1"/>
    <col min="3" max="3" width="22.109375" bestFit="1" customWidth="1"/>
    <col min="4" max="4" width="20.88671875" bestFit="1" customWidth="1"/>
    <col min="5" max="5" width="21.33203125" bestFit="1" customWidth="1"/>
    <col min="6" max="6" width="21.109375" customWidth="1"/>
    <col min="7" max="7" width="17.6640625" customWidth="1"/>
    <col min="8" max="8" width="15.44140625" customWidth="1"/>
    <col min="9" max="9" width="27.44140625" customWidth="1"/>
    <col min="10" max="10" width="22" customWidth="1"/>
    <col min="11" max="11" width="22.44140625" customWidth="1"/>
    <col min="12" max="12" width="23.5546875" customWidth="1"/>
    <col min="13" max="26" width="8.88671875" customWidth="1"/>
  </cols>
  <sheetData>
    <row r="11" spans="10:10" ht="15" customHeight="1" x14ac:dyDescent="0.3">
      <c r="J11">
        <f>50000*1.03</f>
        <v>51500</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spans="1:12" ht="15.75" customHeight="1" x14ac:dyDescent="0.3"/>
    <row r="34" spans="1:12" ht="15.75" customHeight="1" x14ac:dyDescent="0.3"/>
    <row r="35" spans="1:12" ht="15.75" customHeight="1" x14ac:dyDescent="0.3"/>
    <row r="36" spans="1:12" ht="15.75" customHeight="1" x14ac:dyDescent="0.3"/>
    <row r="37" spans="1:12" ht="15.75" customHeight="1" x14ac:dyDescent="0.3"/>
    <row r="38" spans="1:12" ht="15.75" customHeight="1" x14ac:dyDescent="0.3">
      <c r="A38" s="1" t="s">
        <v>0</v>
      </c>
      <c r="B38" s="2" t="s">
        <v>1</v>
      </c>
    </row>
    <row r="39" spans="1:12" ht="15.75" customHeight="1" x14ac:dyDescent="0.3">
      <c r="A39" s="3" t="s">
        <v>2</v>
      </c>
      <c r="B39" s="3" t="s">
        <v>3</v>
      </c>
      <c r="C39" s="3" t="s">
        <v>4</v>
      </c>
      <c r="D39" s="3" t="s">
        <v>5</v>
      </c>
      <c r="E39" s="3" t="s">
        <v>6</v>
      </c>
      <c r="F39" s="3" t="s">
        <v>7</v>
      </c>
      <c r="G39" s="3" t="s">
        <v>8</v>
      </c>
      <c r="H39" s="3" t="s">
        <v>9</v>
      </c>
      <c r="I39" s="3" t="s">
        <v>10</v>
      </c>
      <c r="J39" s="3" t="s">
        <v>11</v>
      </c>
      <c r="K39" s="3" t="s">
        <v>12</v>
      </c>
      <c r="L39" s="3" t="s">
        <v>13</v>
      </c>
    </row>
    <row r="40" spans="1:12" ht="15.75" customHeight="1" x14ac:dyDescent="0.3">
      <c r="A40" s="3">
        <v>1</v>
      </c>
      <c r="B40" s="3" t="s">
        <v>14</v>
      </c>
      <c r="C40" s="4">
        <v>44829</v>
      </c>
      <c r="D40" s="4">
        <v>45016</v>
      </c>
      <c r="E40" s="29" t="s">
        <v>15</v>
      </c>
      <c r="F40" s="5">
        <v>1.03</v>
      </c>
      <c r="G40" s="5">
        <v>0.4</v>
      </c>
      <c r="H40" s="5">
        <v>0.6</v>
      </c>
      <c r="I40" s="3" t="s">
        <v>16</v>
      </c>
      <c r="J40" s="3" t="s">
        <v>17</v>
      </c>
      <c r="K40" s="3" t="s">
        <v>18</v>
      </c>
      <c r="L40" s="3" t="s">
        <v>19</v>
      </c>
    </row>
    <row r="41" spans="1:12" ht="15.75" customHeight="1" x14ac:dyDescent="0.3">
      <c r="A41" s="3">
        <v>2</v>
      </c>
      <c r="B41" s="3" t="s">
        <v>20</v>
      </c>
      <c r="C41" s="4">
        <v>44876</v>
      </c>
      <c r="D41" s="4">
        <v>45016</v>
      </c>
      <c r="E41" s="29" t="s">
        <v>21</v>
      </c>
      <c r="F41" s="5">
        <v>0.99</v>
      </c>
      <c r="G41" s="5">
        <v>1</v>
      </c>
      <c r="H41" s="5">
        <v>0</v>
      </c>
      <c r="I41" s="3" t="s">
        <v>22</v>
      </c>
      <c r="J41" s="3" t="s">
        <v>17</v>
      </c>
      <c r="K41" s="3" t="s">
        <v>23</v>
      </c>
      <c r="L41" s="3" t="s">
        <v>19</v>
      </c>
    </row>
    <row r="42" spans="1:12" ht="15.75" customHeight="1" x14ac:dyDescent="0.3">
      <c r="A42" s="3">
        <v>3</v>
      </c>
      <c r="B42" s="3" t="s">
        <v>24</v>
      </c>
      <c r="C42" s="6">
        <v>44908</v>
      </c>
      <c r="D42" s="4">
        <v>45016</v>
      </c>
      <c r="E42" s="29" t="s">
        <v>25</v>
      </c>
      <c r="F42" s="5">
        <v>0.98</v>
      </c>
      <c r="G42" s="5">
        <v>0.05</v>
      </c>
      <c r="H42" s="5">
        <v>0.95</v>
      </c>
      <c r="I42" s="3" t="s">
        <v>16</v>
      </c>
      <c r="J42" s="3" t="s">
        <v>26</v>
      </c>
      <c r="K42" s="3" t="s">
        <v>27</v>
      </c>
      <c r="L42" s="3" t="s">
        <v>28</v>
      </c>
    </row>
    <row r="43" spans="1:12" ht="15.75" customHeight="1" x14ac:dyDescent="0.3"/>
    <row r="44" spans="1:12" ht="15.75" customHeight="1" x14ac:dyDescent="0.3">
      <c r="A44" s="14" t="s">
        <v>62</v>
      </c>
      <c r="B44" t="s">
        <v>3</v>
      </c>
      <c r="C44" t="s">
        <v>63</v>
      </c>
      <c r="D44" t="s">
        <v>64</v>
      </c>
      <c r="E44" s="30" t="s">
        <v>65</v>
      </c>
      <c r="F44" t="s">
        <v>66</v>
      </c>
      <c r="G44" t="s">
        <v>67</v>
      </c>
      <c r="H44" s="14" t="s">
        <v>70</v>
      </c>
      <c r="I44">
        <v>1</v>
      </c>
    </row>
    <row r="45" spans="1:12" ht="15.75" customHeight="1" x14ac:dyDescent="0.3">
      <c r="A45">
        <v>1</v>
      </c>
      <c r="B45" t="s">
        <v>14</v>
      </c>
      <c r="C45">
        <f>50000*1.03*0.4</f>
        <v>20600</v>
      </c>
      <c r="D45">
        <f>50000*1.03*0.6</f>
        <v>30900</v>
      </c>
      <c r="E45">
        <f>0.004/12</f>
        <v>3.3333333333333332E-4</v>
      </c>
      <c r="F45">
        <f>0.006/12</f>
        <v>5.0000000000000001E-4</v>
      </c>
      <c r="G45" s="31">
        <v>7.4999999999999997E-3</v>
      </c>
    </row>
    <row r="46" spans="1:12" ht="15.75" customHeight="1" x14ac:dyDescent="0.3">
      <c r="A46">
        <v>2</v>
      </c>
      <c r="B46" t="s">
        <v>20</v>
      </c>
      <c r="C46">
        <f>78000*0.99*1</f>
        <v>77220</v>
      </c>
      <c r="D46">
        <f>78000*0.99*0</f>
        <v>0</v>
      </c>
      <c r="E46">
        <f>0.005/12</f>
        <v>4.1666666666666669E-4</v>
      </c>
      <c r="F46">
        <f>0.006/12</f>
        <v>5.0000000000000001E-4</v>
      </c>
      <c r="G46" s="31">
        <v>100</v>
      </c>
    </row>
    <row r="47" spans="1:12" ht="15.75" customHeight="1" x14ac:dyDescent="0.3">
      <c r="A47">
        <v>3</v>
      </c>
      <c r="B47" t="s">
        <v>24</v>
      </c>
      <c r="C47">
        <f>100000*0.98*0.05</f>
        <v>4900</v>
      </c>
      <c r="D47">
        <f>100000*0.98*0.95</f>
        <v>93100</v>
      </c>
      <c r="E47">
        <f>0.004/12</f>
        <v>3.3333333333333332E-4</v>
      </c>
      <c r="F47">
        <f>0.003/12</f>
        <v>2.5000000000000001E-4</v>
      </c>
      <c r="G47" s="31">
        <v>0.01</v>
      </c>
    </row>
    <row r="48" spans="1:12" ht="15.75" customHeight="1" x14ac:dyDescent="0.3"/>
    <row r="49" spans="1:1" ht="15.75" customHeight="1" x14ac:dyDescent="0.3">
      <c r="A49" s="35" t="s">
        <v>68</v>
      </c>
    </row>
    <row r="50" spans="1:1" ht="15.75" customHeight="1" x14ac:dyDescent="0.3"/>
    <row r="51" spans="1:1" ht="15.75" customHeight="1" x14ac:dyDescent="0.3"/>
    <row r="52" spans="1:1" ht="15.75" customHeight="1" x14ac:dyDescent="0.3"/>
    <row r="53" spans="1:1" ht="15.75" customHeight="1" x14ac:dyDescent="0.3"/>
    <row r="54" spans="1:1" ht="15.75" customHeight="1" x14ac:dyDescent="0.3"/>
    <row r="55" spans="1:1" ht="15.75" customHeight="1" x14ac:dyDescent="0.3"/>
    <row r="56" spans="1:1" ht="15.75" customHeight="1" x14ac:dyDescent="0.3">
      <c r="A56" t="s">
        <v>73</v>
      </c>
    </row>
    <row r="57" spans="1:1" ht="15.75" customHeight="1" x14ac:dyDescent="0.3">
      <c r="A57" t="s">
        <v>74</v>
      </c>
    </row>
    <row r="58" spans="1:1" ht="15.75" customHeight="1" x14ac:dyDescent="0.3">
      <c r="A58" t="s">
        <v>75</v>
      </c>
    </row>
    <row r="59" spans="1:1" ht="15.75" customHeight="1" x14ac:dyDescent="0.3"/>
    <row r="60" spans="1:1" ht="15.75" customHeight="1" x14ac:dyDescent="0.3">
      <c r="A60" t="s">
        <v>76</v>
      </c>
    </row>
    <row r="61" spans="1:1" ht="15.75" customHeight="1" x14ac:dyDescent="0.3"/>
    <row r="62" spans="1:1" ht="15.75" customHeight="1" x14ac:dyDescent="0.3"/>
    <row r="63" spans="1:1" ht="15.75" customHeight="1" x14ac:dyDescent="0.3"/>
    <row r="64" spans="1:1" ht="15.75" customHeight="1" x14ac:dyDescent="0.3"/>
    <row r="65" spans="1:10" ht="15.75" customHeight="1" x14ac:dyDescent="0.3"/>
    <row r="66" spans="1:10" ht="15.75" customHeight="1" x14ac:dyDescent="0.3"/>
    <row r="67" spans="1:10" ht="15.75" customHeight="1" x14ac:dyDescent="0.3"/>
    <row r="68" spans="1:10" ht="15.75" customHeight="1" x14ac:dyDescent="0.3"/>
    <row r="69" spans="1:10" ht="15.75" customHeight="1" x14ac:dyDescent="0.3"/>
    <row r="70" spans="1:10" ht="15.75" customHeight="1" x14ac:dyDescent="0.3"/>
    <row r="71" spans="1:10" ht="15.75" customHeight="1" x14ac:dyDescent="0.3">
      <c r="A71" t="s">
        <v>14</v>
      </c>
      <c r="C71" t="s">
        <v>20</v>
      </c>
      <c r="E71" t="s">
        <v>24</v>
      </c>
    </row>
    <row r="72" spans="1:10" ht="15.75" customHeight="1" x14ac:dyDescent="0.3">
      <c r="A72" s="19">
        <v>44829</v>
      </c>
      <c r="B72" s="20" t="s">
        <v>40</v>
      </c>
      <c r="C72" s="19">
        <v>44876</v>
      </c>
      <c r="D72" s="20" t="s">
        <v>40</v>
      </c>
      <c r="E72" s="19">
        <v>44908</v>
      </c>
      <c r="F72" s="20" t="s">
        <v>40</v>
      </c>
      <c r="H72" t="s">
        <v>14</v>
      </c>
      <c r="I72" t="s">
        <v>20</v>
      </c>
      <c r="J72" t="s">
        <v>24</v>
      </c>
    </row>
    <row r="73" spans="1:10" ht="15.75" customHeight="1" x14ac:dyDescent="0.3">
      <c r="A73" s="19">
        <v>44835</v>
      </c>
      <c r="B73" s="20" t="s">
        <v>43</v>
      </c>
      <c r="C73" s="19">
        <v>44896</v>
      </c>
      <c r="D73" s="20" t="s">
        <v>43</v>
      </c>
      <c r="E73" s="19">
        <v>44926</v>
      </c>
      <c r="F73" s="38" t="s">
        <v>69</v>
      </c>
      <c r="H73" s="19">
        <v>44829</v>
      </c>
      <c r="I73" s="19">
        <v>44876</v>
      </c>
      <c r="J73" s="19">
        <v>44908</v>
      </c>
    </row>
    <row r="74" spans="1:10" ht="15.75" customHeight="1" x14ac:dyDescent="0.3">
      <c r="A74" s="19">
        <v>44859</v>
      </c>
      <c r="B74" s="20" t="s">
        <v>55</v>
      </c>
      <c r="C74" s="19">
        <v>44906</v>
      </c>
      <c r="D74" s="20" t="s">
        <v>55</v>
      </c>
      <c r="E74" s="19">
        <v>44939</v>
      </c>
      <c r="F74" s="20" t="s">
        <v>55</v>
      </c>
      <c r="H74" s="19">
        <v>44829</v>
      </c>
      <c r="I74" s="19">
        <v>44876</v>
      </c>
      <c r="J74" s="19">
        <v>44908</v>
      </c>
    </row>
    <row r="75" spans="1:10" ht="15.75" customHeight="1" x14ac:dyDescent="0.3">
      <c r="A75" s="19">
        <v>44866</v>
      </c>
      <c r="B75" s="20" t="s">
        <v>43</v>
      </c>
      <c r="C75" s="19">
        <v>44926</v>
      </c>
      <c r="D75" s="38" t="s">
        <v>69</v>
      </c>
      <c r="E75" s="19">
        <v>44970</v>
      </c>
      <c r="F75" s="20" t="s">
        <v>55</v>
      </c>
      <c r="H75" s="19">
        <v>44835</v>
      </c>
      <c r="I75" s="19">
        <v>44896</v>
      </c>
      <c r="J75" s="19">
        <v>44927</v>
      </c>
    </row>
    <row r="76" spans="1:10" ht="15.75" customHeight="1" x14ac:dyDescent="0.3">
      <c r="A76" s="19">
        <v>44890</v>
      </c>
      <c r="B76" s="20" t="s">
        <v>55</v>
      </c>
      <c r="C76" s="19">
        <v>44927</v>
      </c>
      <c r="D76" s="20" t="s">
        <v>43</v>
      </c>
      <c r="E76" s="19">
        <v>44986</v>
      </c>
      <c r="F76" s="20" t="s">
        <v>43</v>
      </c>
      <c r="H76" s="19">
        <v>44835</v>
      </c>
      <c r="I76" s="19">
        <v>44896</v>
      </c>
      <c r="J76" s="19">
        <v>44927</v>
      </c>
    </row>
    <row r="77" spans="1:10" ht="15.75" customHeight="1" x14ac:dyDescent="0.3">
      <c r="A77" s="19">
        <v>44896</v>
      </c>
      <c r="B77" s="20" t="s">
        <v>43</v>
      </c>
      <c r="C77" s="19">
        <v>44937</v>
      </c>
      <c r="D77" s="20" t="s">
        <v>55</v>
      </c>
      <c r="E77" s="39">
        <v>44998</v>
      </c>
      <c r="F77" s="20" t="s">
        <v>55</v>
      </c>
      <c r="H77" s="19">
        <v>44859</v>
      </c>
      <c r="I77" s="19">
        <v>44906</v>
      </c>
      <c r="J77" s="19">
        <v>44939</v>
      </c>
    </row>
    <row r="78" spans="1:10" ht="15.75" customHeight="1" x14ac:dyDescent="0.3">
      <c r="A78" s="19">
        <v>44920</v>
      </c>
      <c r="B78" s="20" t="s">
        <v>55</v>
      </c>
      <c r="C78" s="19">
        <v>44958</v>
      </c>
      <c r="D78" s="20" t="s">
        <v>43</v>
      </c>
      <c r="E78" s="19">
        <v>45016</v>
      </c>
      <c r="F78" s="20" t="s">
        <v>56</v>
      </c>
      <c r="H78" s="19">
        <v>44859</v>
      </c>
      <c r="I78" s="19">
        <v>44906</v>
      </c>
      <c r="J78" s="19">
        <v>44939</v>
      </c>
    </row>
    <row r="79" spans="1:10" ht="15.75" customHeight="1" x14ac:dyDescent="0.3">
      <c r="A79" s="34">
        <v>44926</v>
      </c>
      <c r="B79" s="36" t="s">
        <v>69</v>
      </c>
      <c r="C79" s="19">
        <v>44968</v>
      </c>
      <c r="D79" s="20" t="s">
        <v>55</v>
      </c>
      <c r="H79" s="19">
        <v>44866</v>
      </c>
      <c r="I79" s="19">
        <v>44927</v>
      </c>
      <c r="J79" s="19">
        <v>44958</v>
      </c>
    </row>
    <row r="80" spans="1:10" ht="15.75" customHeight="1" x14ac:dyDescent="0.3">
      <c r="A80" s="19">
        <v>44927</v>
      </c>
      <c r="B80" s="20" t="s">
        <v>43</v>
      </c>
      <c r="C80" s="19">
        <v>44986</v>
      </c>
      <c r="D80" s="20" t="s">
        <v>43</v>
      </c>
      <c r="H80" s="19">
        <v>44866</v>
      </c>
      <c r="I80" s="19">
        <v>44927</v>
      </c>
      <c r="J80" s="19">
        <v>44958</v>
      </c>
    </row>
    <row r="81" spans="1:10" ht="15.75" customHeight="1" x14ac:dyDescent="0.3">
      <c r="A81" s="19">
        <v>44951</v>
      </c>
      <c r="B81" s="20" t="s">
        <v>55</v>
      </c>
      <c r="C81" s="19">
        <v>44996</v>
      </c>
      <c r="D81" s="20" t="s">
        <v>55</v>
      </c>
      <c r="H81" s="19">
        <v>44890</v>
      </c>
      <c r="I81" s="19">
        <v>44937</v>
      </c>
      <c r="J81" s="19">
        <v>44970</v>
      </c>
    </row>
    <row r="82" spans="1:10" ht="15.75" customHeight="1" x14ac:dyDescent="0.3">
      <c r="A82" s="19">
        <v>44958</v>
      </c>
      <c r="B82" s="20" t="s">
        <v>43</v>
      </c>
      <c r="C82" s="19">
        <v>45016</v>
      </c>
      <c r="D82" s="38" t="s">
        <v>56</v>
      </c>
      <c r="H82" s="19">
        <v>44890</v>
      </c>
      <c r="I82" s="19">
        <v>44937</v>
      </c>
      <c r="J82" s="19">
        <v>44970</v>
      </c>
    </row>
    <row r="83" spans="1:10" ht="15.75" customHeight="1" x14ac:dyDescent="0.3">
      <c r="A83" s="19">
        <v>44982</v>
      </c>
      <c r="B83" s="20" t="s">
        <v>55</v>
      </c>
      <c r="H83" s="19">
        <v>44896</v>
      </c>
      <c r="I83" s="19">
        <v>44958</v>
      </c>
      <c r="J83" s="19">
        <v>44986</v>
      </c>
    </row>
    <row r="84" spans="1:10" ht="15.75" customHeight="1" x14ac:dyDescent="0.3">
      <c r="A84" s="19">
        <v>44986</v>
      </c>
      <c r="B84" s="20" t="s">
        <v>43</v>
      </c>
      <c r="H84" s="19">
        <v>44896</v>
      </c>
      <c r="I84" s="19">
        <v>44958</v>
      </c>
      <c r="J84" s="19">
        <v>44986</v>
      </c>
    </row>
    <row r="85" spans="1:10" ht="15.75" customHeight="1" x14ac:dyDescent="0.3">
      <c r="A85" s="19">
        <v>45010</v>
      </c>
      <c r="B85" s="20" t="s">
        <v>55</v>
      </c>
      <c r="H85" s="19">
        <v>44920</v>
      </c>
      <c r="I85" s="19">
        <v>44968</v>
      </c>
      <c r="J85" s="19">
        <v>44998</v>
      </c>
    </row>
    <row r="86" spans="1:10" ht="15.75" customHeight="1" x14ac:dyDescent="0.3">
      <c r="A86" s="19">
        <v>45016</v>
      </c>
      <c r="B86" s="20" t="s">
        <v>56</v>
      </c>
      <c r="H86" s="19">
        <v>44920</v>
      </c>
      <c r="I86" s="19">
        <v>44968</v>
      </c>
      <c r="J86" s="19">
        <v>44998</v>
      </c>
    </row>
    <row r="87" spans="1:10" ht="15.75" customHeight="1" x14ac:dyDescent="0.3">
      <c r="H87" s="19">
        <v>44927</v>
      </c>
      <c r="I87" s="19">
        <v>44986</v>
      </c>
    </row>
    <row r="88" spans="1:10" ht="15.75" customHeight="1" x14ac:dyDescent="0.3">
      <c r="H88" s="19">
        <v>44927</v>
      </c>
      <c r="I88" s="19">
        <v>44986</v>
      </c>
    </row>
    <row r="89" spans="1:10" ht="15.75" customHeight="1" x14ac:dyDescent="0.3">
      <c r="H89" s="19">
        <v>44951</v>
      </c>
      <c r="I89" s="19">
        <v>44996</v>
      </c>
    </row>
    <row r="90" spans="1:10" ht="15.75" customHeight="1" x14ac:dyDescent="0.3">
      <c r="H90" s="19">
        <v>44951</v>
      </c>
      <c r="I90" s="19">
        <v>44996</v>
      </c>
    </row>
    <row r="91" spans="1:10" ht="15.75" customHeight="1" x14ac:dyDescent="0.3">
      <c r="H91" s="19">
        <v>44958</v>
      </c>
    </row>
    <row r="92" spans="1:10" ht="15.75" customHeight="1" x14ac:dyDescent="0.3">
      <c r="H92" s="19">
        <v>44958</v>
      </c>
    </row>
    <row r="93" spans="1:10" ht="15.75" customHeight="1" x14ac:dyDescent="0.3">
      <c r="H93" s="19">
        <v>44982</v>
      </c>
    </row>
    <row r="94" spans="1:10" ht="15.75" customHeight="1" x14ac:dyDescent="0.3">
      <c r="H94" s="19">
        <v>44982</v>
      </c>
    </row>
    <row r="95" spans="1:10" ht="15.75" customHeight="1" x14ac:dyDescent="0.3">
      <c r="H95" s="19">
        <v>44986</v>
      </c>
    </row>
    <row r="96" spans="1:10" ht="15.75" customHeight="1" x14ac:dyDescent="0.3">
      <c r="H96" s="19">
        <v>44986</v>
      </c>
    </row>
    <row r="97" spans="8:8" ht="15.75" customHeight="1" x14ac:dyDescent="0.3">
      <c r="H97" s="19">
        <v>45010</v>
      </c>
    </row>
    <row r="98" spans="8:8" ht="15.75" customHeight="1" x14ac:dyDescent="0.3">
      <c r="H98" s="19">
        <v>45010</v>
      </c>
    </row>
    <row r="99" spans="8:8" ht="15.75" customHeight="1" x14ac:dyDescent="0.3">
      <c r="H99" s="19">
        <v>45016</v>
      </c>
    </row>
    <row r="100" spans="8:8" ht="15.75" customHeight="1" x14ac:dyDescent="0.3">
      <c r="H100" s="19">
        <v>45016</v>
      </c>
    </row>
    <row r="101" spans="8:8" ht="15.75" customHeight="1" x14ac:dyDescent="0.3"/>
    <row r="102" spans="8:8" ht="15.75" customHeight="1" x14ac:dyDescent="0.3"/>
    <row r="103" spans="8:8" ht="15.75" customHeight="1" x14ac:dyDescent="0.3"/>
    <row r="104" spans="8:8" ht="15.75" customHeight="1" x14ac:dyDescent="0.3"/>
    <row r="105" spans="8:8" ht="15.75" customHeight="1" x14ac:dyDescent="0.3"/>
    <row r="106" spans="8:8" ht="15.75" customHeight="1" x14ac:dyDescent="0.3"/>
    <row r="107" spans="8:8" ht="15.75" customHeight="1" x14ac:dyDescent="0.3"/>
    <row r="108" spans="8:8" ht="15.75" customHeight="1" x14ac:dyDescent="0.3"/>
    <row r="109" spans="8:8" ht="15.75" customHeight="1" x14ac:dyDescent="0.3"/>
    <row r="110" spans="8:8" ht="15.75" customHeight="1" x14ac:dyDescent="0.3"/>
    <row r="111" spans="8:8" ht="15.75" customHeight="1" x14ac:dyDescent="0.3"/>
    <row r="112" spans="8:8"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1">
    <dataValidation type="whole" allowBlank="1" showInputMessage="1" showErrorMessage="1" sqref="I44">
      <formula1>1</formula1>
      <formula2>10</formula2>
    </dataValidation>
  </dataValidations>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1000"/>
  <sheetViews>
    <sheetView showGridLines="0" workbookViewId="0">
      <selection activeCell="B28" sqref="B28"/>
    </sheetView>
  </sheetViews>
  <sheetFormatPr defaultColWidth="14.44140625" defaultRowHeight="15" customHeight="1" x14ac:dyDescent="0.3"/>
  <cols>
    <col min="1" max="1" width="10.44140625" customWidth="1"/>
    <col min="2" max="2" width="49.33203125" customWidth="1"/>
    <col min="3" max="4" width="8.88671875" customWidth="1"/>
    <col min="5" max="5" width="16" customWidth="1"/>
    <col min="6" max="6" width="8.88671875" customWidth="1"/>
    <col min="7" max="7" width="11.88671875" customWidth="1"/>
    <col min="8" max="8" width="14.109375" customWidth="1"/>
    <col min="9" max="26" width="8.88671875" customWidth="1"/>
  </cols>
  <sheetData>
    <row r="1" spans="1:26" ht="14.4" x14ac:dyDescent="0.3">
      <c r="A1" s="10" t="s">
        <v>34</v>
      </c>
      <c r="B1" s="11" t="s">
        <v>35</v>
      </c>
      <c r="C1" s="11" t="s">
        <v>30</v>
      </c>
      <c r="D1" s="11" t="s">
        <v>31</v>
      </c>
      <c r="E1" s="11" t="s">
        <v>36</v>
      </c>
      <c r="F1" s="11" t="s">
        <v>37</v>
      </c>
      <c r="G1" s="11" t="s">
        <v>38</v>
      </c>
      <c r="H1" s="11" t="s">
        <v>39</v>
      </c>
      <c r="I1" s="12"/>
      <c r="J1" s="12"/>
      <c r="K1" s="12"/>
      <c r="L1" s="12"/>
      <c r="M1" s="12"/>
      <c r="N1" s="12"/>
      <c r="O1" s="12"/>
      <c r="P1" s="12"/>
      <c r="Q1" s="12"/>
      <c r="R1" s="12"/>
      <c r="S1" s="12"/>
      <c r="T1" s="12"/>
      <c r="U1" s="12"/>
      <c r="V1" s="12"/>
      <c r="W1" s="12"/>
      <c r="X1" s="12"/>
      <c r="Y1" s="12"/>
      <c r="Z1" s="12"/>
    </row>
    <row r="2" spans="1:26" ht="14.4" x14ac:dyDescent="0.3">
      <c r="A2" s="6">
        <v>44777</v>
      </c>
      <c r="B2" s="3" t="s">
        <v>40</v>
      </c>
      <c r="C2" s="3" t="s">
        <v>41</v>
      </c>
      <c r="D2" s="3">
        <v>10.32</v>
      </c>
      <c r="E2" s="13">
        <v>9000</v>
      </c>
      <c r="F2" s="13">
        <v>872.09302325581393</v>
      </c>
      <c r="G2" s="13">
        <v>872.09302325581393</v>
      </c>
      <c r="H2" s="13">
        <v>9000</v>
      </c>
    </row>
    <row r="3" spans="1:26" ht="14.4" x14ac:dyDescent="0.3">
      <c r="A3" s="6">
        <v>44777</v>
      </c>
      <c r="B3" s="3" t="s">
        <v>40</v>
      </c>
      <c r="C3" s="3" t="s">
        <v>42</v>
      </c>
      <c r="D3" s="3">
        <v>11.1</v>
      </c>
      <c r="E3" s="13">
        <v>9000</v>
      </c>
      <c r="F3" s="13">
        <v>810.81081081081084</v>
      </c>
      <c r="G3" s="13">
        <v>810.81081081081084</v>
      </c>
      <c r="H3" s="13">
        <v>9000</v>
      </c>
    </row>
    <row r="4" spans="1:26" ht="14.4" x14ac:dyDescent="0.3">
      <c r="A4" s="6">
        <v>44774</v>
      </c>
      <c r="B4" s="3" t="s">
        <v>43</v>
      </c>
      <c r="C4" s="3" t="s">
        <v>41</v>
      </c>
      <c r="D4" s="3">
        <v>12.1</v>
      </c>
      <c r="E4" s="13">
        <v>-102.3</v>
      </c>
      <c r="F4" s="13">
        <v>-8.454545454545455</v>
      </c>
      <c r="G4" s="13">
        <v>863.63847780126844</v>
      </c>
      <c r="H4" s="13">
        <v>10450.025581395348</v>
      </c>
    </row>
    <row r="5" spans="1:26" ht="14.4" x14ac:dyDescent="0.3">
      <c r="A5" s="6">
        <v>44774</v>
      </c>
      <c r="B5" s="3" t="s">
        <v>43</v>
      </c>
      <c r="C5" s="3" t="s">
        <v>42</v>
      </c>
      <c r="D5" s="3">
        <v>11</v>
      </c>
      <c r="E5" s="13">
        <v>-100.23</v>
      </c>
      <c r="F5" s="13">
        <v>-9.1118181818181814</v>
      </c>
      <c r="G5" s="13">
        <v>801.69899262899264</v>
      </c>
      <c r="H5" s="13">
        <v>8818.6889189189187</v>
      </c>
    </row>
    <row r="6" spans="1:26" ht="14.4" x14ac:dyDescent="0.3">
      <c r="A6" s="6">
        <v>44774</v>
      </c>
      <c r="B6" s="3" t="s">
        <v>44</v>
      </c>
      <c r="C6" s="3" t="s">
        <v>41</v>
      </c>
      <c r="D6" s="3">
        <v>12.1</v>
      </c>
      <c r="E6" s="13">
        <v>-4.2041095890410956E-3</v>
      </c>
      <c r="F6" s="13">
        <v>-3.4744707347447073E-4</v>
      </c>
      <c r="G6" s="13">
        <v>863.63813035419491</v>
      </c>
      <c r="H6" s="13">
        <v>10450.021377285759</v>
      </c>
    </row>
    <row r="7" spans="1:26" ht="14.4" x14ac:dyDescent="0.3">
      <c r="A7" s="6">
        <v>44774</v>
      </c>
      <c r="B7" s="3" t="s">
        <v>44</v>
      </c>
      <c r="C7" s="3" t="s">
        <v>42</v>
      </c>
      <c r="D7" s="3">
        <v>11</v>
      </c>
      <c r="E7" s="13">
        <v>-4.1190410958904106E-3</v>
      </c>
      <c r="F7" s="13">
        <v>-3.7445828144458279E-4</v>
      </c>
      <c r="G7" s="13">
        <v>801.69861817071114</v>
      </c>
      <c r="H7" s="13">
        <v>8818.684799877823</v>
      </c>
    </row>
    <row r="8" spans="1:26" ht="14.4" x14ac:dyDescent="0.3">
      <c r="A8" s="6">
        <v>44808</v>
      </c>
      <c r="B8" s="3" t="s">
        <v>45</v>
      </c>
      <c r="C8" s="3" t="s">
        <v>41</v>
      </c>
      <c r="D8" s="3">
        <v>11.67</v>
      </c>
      <c r="E8" s="13">
        <v>-4.2799776221676318</v>
      </c>
      <c r="F8" s="13">
        <v>-0.36675043891753484</v>
      </c>
      <c r="G8" s="13">
        <v>863.27137991527741</v>
      </c>
      <c r="H8" s="13">
        <v>10074.377003611287</v>
      </c>
    </row>
    <row r="9" spans="1:26" ht="14.4" x14ac:dyDescent="0.3">
      <c r="A9" s="6">
        <v>44808</v>
      </c>
      <c r="B9" s="3" t="s">
        <v>45</v>
      </c>
      <c r="C9" s="3" t="s">
        <v>42</v>
      </c>
      <c r="D9" s="3">
        <v>11.54</v>
      </c>
      <c r="E9" s="13">
        <v>-3.9287625159505501</v>
      </c>
      <c r="F9" s="13">
        <v>-0.34044735840126089</v>
      </c>
      <c r="G9" s="13">
        <v>801.35817081230994</v>
      </c>
      <c r="H9" s="13">
        <v>9247.6732911740564</v>
      </c>
    </row>
    <row r="10" spans="1:26" ht="14.4" x14ac:dyDescent="0.3">
      <c r="A10" s="9"/>
    </row>
    <row r="11" spans="1:26" ht="14.4" x14ac:dyDescent="0.3">
      <c r="A11" s="9"/>
    </row>
    <row r="12" spans="1:26" ht="14.4" x14ac:dyDescent="0.3">
      <c r="A12" s="9"/>
    </row>
    <row r="13" spans="1:26" ht="14.4" x14ac:dyDescent="0.3">
      <c r="A13" s="9"/>
    </row>
    <row r="14" spans="1:26" ht="14.4" x14ac:dyDescent="0.3">
      <c r="A14" s="9"/>
    </row>
    <row r="15" spans="1:26" ht="14.4" x14ac:dyDescent="0.3">
      <c r="A15" s="9"/>
    </row>
    <row r="16" spans="1:26" ht="14.4" x14ac:dyDescent="0.3">
      <c r="A16" s="9"/>
    </row>
    <row r="17" spans="1:1" ht="14.4" x14ac:dyDescent="0.3">
      <c r="A17" s="9"/>
    </row>
    <row r="18" spans="1:1" ht="14.4" x14ac:dyDescent="0.3">
      <c r="A18" s="9"/>
    </row>
    <row r="19" spans="1:1" ht="14.4" x14ac:dyDescent="0.3">
      <c r="A19" s="9"/>
    </row>
    <row r="20" spans="1:1" ht="14.4" x14ac:dyDescent="0.3">
      <c r="A20" s="9"/>
    </row>
    <row r="21" spans="1:1" ht="15.75" customHeight="1" x14ac:dyDescent="0.3">
      <c r="A21" s="9"/>
    </row>
    <row r="22" spans="1:1" ht="15.75" customHeight="1" x14ac:dyDescent="0.3">
      <c r="A22" s="9"/>
    </row>
    <row r="23" spans="1:1" ht="15.75" customHeight="1" x14ac:dyDescent="0.3">
      <c r="A23" s="9"/>
    </row>
    <row r="24" spans="1:1" ht="15.75" customHeight="1" x14ac:dyDescent="0.3">
      <c r="A24" s="9"/>
    </row>
    <row r="25" spans="1:1" ht="15.75" customHeight="1" x14ac:dyDescent="0.3">
      <c r="A25" s="9"/>
    </row>
    <row r="26" spans="1:1" ht="15.75" customHeight="1" x14ac:dyDescent="0.3">
      <c r="A26" s="9"/>
    </row>
    <row r="27" spans="1:1" ht="15.75" customHeight="1" x14ac:dyDescent="0.3">
      <c r="A27" s="9"/>
    </row>
    <row r="28" spans="1:1" ht="15.75" customHeight="1" x14ac:dyDescent="0.3">
      <c r="A28" s="9"/>
    </row>
    <row r="29" spans="1:1" ht="15.75" customHeight="1" x14ac:dyDescent="0.3">
      <c r="A29" s="9"/>
    </row>
    <row r="30" spans="1:1" ht="15.75" customHeight="1" x14ac:dyDescent="0.3">
      <c r="A30" s="9"/>
    </row>
    <row r="31" spans="1:1" ht="15.75" customHeight="1" x14ac:dyDescent="0.3">
      <c r="A31" s="9"/>
    </row>
    <row r="32" spans="1:1" ht="15.75" customHeight="1" x14ac:dyDescent="0.3">
      <c r="A32" s="9"/>
    </row>
    <row r="33" spans="1:1" ht="15.75" customHeight="1" x14ac:dyDescent="0.3">
      <c r="A33" s="9"/>
    </row>
    <row r="34" spans="1:1" ht="15.75" customHeight="1" x14ac:dyDescent="0.3">
      <c r="A34" s="9"/>
    </row>
    <row r="35" spans="1:1" ht="15.75" customHeight="1" x14ac:dyDescent="0.3">
      <c r="A35" s="9"/>
    </row>
    <row r="36" spans="1:1" ht="15.75" customHeight="1" x14ac:dyDescent="0.3">
      <c r="A36" s="9"/>
    </row>
    <row r="37" spans="1:1" ht="15.75" customHeight="1" x14ac:dyDescent="0.3">
      <c r="A37" s="9"/>
    </row>
    <row r="38" spans="1:1" ht="15.75" customHeight="1" x14ac:dyDescent="0.3">
      <c r="A38" s="9"/>
    </row>
    <row r="39" spans="1:1" ht="15.75" customHeight="1" x14ac:dyDescent="0.3">
      <c r="A39" s="9"/>
    </row>
    <row r="40" spans="1:1" ht="15.75" customHeight="1" x14ac:dyDescent="0.3">
      <c r="A40" s="9"/>
    </row>
    <row r="41" spans="1:1" ht="15.75" customHeight="1" x14ac:dyDescent="0.3">
      <c r="A41" s="9"/>
    </row>
    <row r="42" spans="1:1" ht="15.75" customHeight="1" x14ac:dyDescent="0.3">
      <c r="A42" s="9"/>
    </row>
    <row r="43" spans="1:1" ht="15.75" customHeight="1" x14ac:dyDescent="0.3">
      <c r="A43" s="9"/>
    </row>
    <row r="44" spans="1:1" ht="15.75" customHeight="1" x14ac:dyDescent="0.3">
      <c r="A44" s="9"/>
    </row>
    <row r="45" spans="1:1" ht="15.75" customHeight="1" x14ac:dyDescent="0.3">
      <c r="A45" s="9"/>
    </row>
    <row r="46" spans="1:1" ht="15.75" customHeight="1" x14ac:dyDescent="0.3">
      <c r="A46" s="9"/>
    </row>
    <row r="47" spans="1:1" ht="15.75" customHeight="1" x14ac:dyDescent="0.3">
      <c r="A47" s="9"/>
    </row>
    <row r="48" spans="1:1" ht="15.75" customHeight="1" x14ac:dyDescent="0.3">
      <c r="A48" s="9"/>
    </row>
    <row r="49" spans="1:1" ht="15.75" customHeight="1" x14ac:dyDescent="0.3">
      <c r="A49" s="9"/>
    </row>
    <row r="50" spans="1:1" ht="15.75" customHeight="1" x14ac:dyDescent="0.3">
      <c r="A50" s="9"/>
    </row>
    <row r="51" spans="1:1" ht="15.75" customHeight="1" x14ac:dyDescent="0.3">
      <c r="A51" s="9"/>
    </row>
    <row r="52" spans="1:1" ht="15.75" customHeight="1" x14ac:dyDescent="0.3">
      <c r="A52" s="9"/>
    </row>
    <row r="53" spans="1:1" ht="15.75" customHeight="1" x14ac:dyDescent="0.3">
      <c r="A53" s="9"/>
    </row>
    <row r="54" spans="1:1" ht="15.75" customHeight="1" x14ac:dyDescent="0.3">
      <c r="A54" s="9"/>
    </row>
    <row r="55" spans="1:1" ht="15.75" customHeight="1" x14ac:dyDescent="0.3">
      <c r="A55" s="9"/>
    </row>
    <row r="56" spans="1:1" ht="15.75" customHeight="1" x14ac:dyDescent="0.3">
      <c r="A56" s="9"/>
    </row>
    <row r="57" spans="1:1" ht="15.75" customHeight="1" x14ac:dyDescent="0.3">
      <c r="A57" s="9"/>
    </row>
    <row r="58" spans="1:1" ht="15.75" customHeight="1" x14ac:dyDescent="0.3">
      <c r="A58" s="9"/>
    </row>
    <row r="59" spans="1:1" ht="15.75" customHeight="1" x14ac:dyDescent="0.3">
      <c r="A59" s="9"/>
    </row>
    <row r="60" spans="1:1" ht="15.75" customHeight="1" x14ac:dyDescent="0.3">
      <c r="A60" s="9"/>
    </row>
    <row r="61" spans="1:1" ht="15.75" customHeight="1" x14ac:dyDescent="0.3">
      <c r="A61" s="9"/>
    </row>
    <row r="62" spans="1:1" ht="15.75" customHeight="1" x14ac:dyDescent="0.3">
      <c r="A62" s="9"/>
    </row>
    <row r="63" spans="1:1" ht="15.75" customHeight="1" x14ac:dyDescent="0.3">
      <c r="A63" s="9"/>
    </row>
    <row r="64" spans="1:1" ht="15.75" customHeight="1" x14ac:dyDescent="0.3">
      <c r="A64" s="9"/>
    </row>
    <row r="65" spans="1:1" ht="15.75" customHeight="1" x14ac:dyDescent="0.3">
      <c r="A65" s="9"/>
    </row>
    <row r="66" spans="1:1" ht="15.75" customHeight="1" x14ac:dyDescent="0.3">
      <c r="A66" s="9"/>
    </row>
    <row r="67" spans="1:1" ht="15.75" customHeight="1" x14ac:dyDescent="0.3">
      <c r="A67" s="9"/>
    </row>
    <row r="68" spans="1:1" ht="15.75" customHeight="1" x14ac:dyDescent="0.3">
      <c r="A68" s="9"/>
    </row>
    <row r="69" spans="1:1" ht="15.75" customHeight="1" x14ac:dyDescent="0.3">
      <c r="A69" s="9"/>
    </row>
    <row r="70" spans="1:1" ht="15.75" customHeight="1" x14ac:dyDescent="0.3">
      <c r="A70" s="9"/>
    </row>
    <row r="71" spans="1:1" ht="15.75" customHeight="1" x14ac:dyDescent="0.3">
      <c r="A71" s="9"/>
    </row>
    <row r="72" spans="1:1" ht="15.75" customHeight="1" x14ac:dyDescent="0.3">
      <c r="A72" s="9"/>
    </row>
    <row r="73" spans="1:1" ht="15.75" customHeight="1" x14ac:dyDescent="0.3">
      <c r="A73" s="9"/>
    </row>
    <row r="74" spans="1:1" ht="15.75" customHeight="1" x14ac:dyDescent="0.3">
      <c r="A74" s="9"/>
    </row>
    <row r="75" spans="1:1" ht="15.75" customHeight="1" x14ac:dyDescent="0.3">
      <c r="A75" s="9"/>
    </row>
    <row r="76" spans="1:1" ht="15.75" customHeight="1" x14ac:dyDescent="0.3">
      <c r="A76" s="9"/>
    </row>
    <row r="77" spans="1:1" ht="15.75" customHeight="1" x14ac:dyDescent="0.3">
      <c r="A77" s="9"/>
    </row>
    <row r="78" spans="1:1" ht="15.75" customHeight="1" x14ac:dyDescent="0.3">
      <c r="A78" s="9"/>
    </row>
    <row r="79" spans="1:1" ht="15.75" customHeight="1" x14ac:dyDescent="0.3">
      <c r="A79" s="9"/>
    </row>
    <row r="80" spans="1:1"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1000"/>
  <sheetViews>
    <sheetView workbookViewId="0">
      <selection activeCell="M3" sqref="M3"/>
    </sheetView>
  </sheetViews>
  <sheetFormatPr defaultColWidth="14.44140625" defaultRowHeight="15" customHeight="1" x14ac:dyDescent="0.3"/>
  <cols>
    <col min="1" max="1" width="11.109375" customWidth="1"/>
    <col min="2" max="2" width="6" bestFit="1" customWidth="1"/>
    <col min="3" max="3" width="6.5546875" bestFit="1" customWidth="1"/>
    <col min="4" max="4" width="19.88671875" customWidth="1"/>
    <col min="5" max="5" width="15.5546875" customWidth="1"/>
    <col min="6" max="6" width="17.88671875" bestFit="1" customWidth="1"/>
    <col min="7" max="7" width="15.21875" customWidth="1"/>
    <col min="8" max="8" width="12.109375" bestFit="1" customWidth="1"/>
    <col min="9" max="9" width="10.33203125" bestFit="1" customWidth="1"/>
    <col min="10" max="10" width="11" bestFit="1" customWidth="1"/>
    <col min="11" max="11" width="4.88671875" bestFit="1" customWidth="1"/>
    <col min="12" max="12" width="6.5546875" bestFit="1" customWidth="1"/>
    <col min="13" max="13" width="16.44140625" bestFit="1" customWidth="1"/>
    <col min="14" max="14" width="8.88671875" bestFit="1" customWidth="1"/>
    <col min="15" max="15" width="17.88671875" bestFit="1" customWidth="1"/>
    <col min="16" max="16" width="11.77734375" bestFit="1" customWidth="1"/>
    <col min="17" max="17" width="45.44140625" bestFit="1" customWidth="1"/>
    <col min="18" max="25" width="8.88671875" customWidth="1"/>
  </cols>
  <sheetData>
    <row r="1" spans="1:16" ht="14.4" x14ac:dyDescent="0.3">
      <c r="A1" s="2" t="s">
        <v>29</v>
      </c>
      <c r="B1" s="2" t="s">
        <v>30</v>
      </c>
      <c r="C1" s="7" t="s">
        <v>31</v>
      </c>
      <c r="D1" t="s">
        <v>48</v>
      </c>
      <c r="E1" t="s">
        <v>37</v>
      </c>
      <c r="J1" t="s">
        <v>29</v>
      </c>
      <c r="K1" t="s">
        <v>30</v>
      </c>
      <c r="L1" t="s">
        <v>31</v>
      </c>
      <c r="M1" t="s">
        <v>48</v>
      </c>
      <c r="N1" t="s">
        <v>37</v>
      </c>
    </row>
    <row r="2" spans="1:16" ht="15.6" x14ac:dyDescent="0.3">
      <c r="A2" s="32">
        <v>44829</v>
      </c>
      <c r="B2" s="2" t="s">
        <v>32</v>
      </c>
      <c r="C2" s="8">
        <v>13.719627154678445</v>
      </c>
      <c r="D2" s="40">
        <f>IF(Question!I44=1,20600,IF(Question!I44=2,77200,4900))</f>
        <v>20600</v>
      </c>
      <c r="E2" s="41">
        <f>D2/C2</f>
        <v>1501.4985296430102</v>
      </c>
      <c r="F2" s="17"/>
      <c r="G2" s="17"/>
      <c r="H2" s="15"/>
      <c r="J2" s="32">
        <v>44829</v>
      </c>
      <c r="K2" s="2" t="s">
        <v>33</v>
      </c>
      <c r="L2" s="8">
        <v>9.8573134018108242</v>
      </c>
      <c r="M2" s="28">
        <f>IF(Question!I44=1,30900,IF(Question!I44=2,"",93100))</f>
        <v>30900</v>
      </c>
      <c r="N2" s="23">
        <f>M2/L2</f>
        <v>3134.7283727758477</v>
      </c>
      <c r="O2" s="24"/>
      <c r="P2" s="17"/>
    </row>
    <row r="3" spans="1:16" ht="15.6" x14ac:dyDescent="0.3">
      <c r="A3" s="33">
        <v>44830</v>
      </c>
      <c r="B3" s="2" t="s">
        <v>32</v>
      </c>
      <c r="C3" s="8">
        <v>13.54002137650404</v>
      </c>
      <c r="D3" s="25"/>
      <c r="E3" s="23"/>
      <c r="F3" s="17"/>
      <c r="G3" s="17"/>
      <c r="H3" s="15"/>
      <c r="J3" s="33">
        <v>44830</v>
      </c>
      <c r="K3" s="2" t="s">
        <v>33</v>
      </c>
      <c r="L3" s="8">
        <v>9.2252236163947234</v>
      </c>
      <c r="M3" s="16"/>
      <c r="N3" s="23"/>
      <c r="O3" s="24"/>
      <c r="P3" s="17"/>
    </row>
    <row r="4" spans="1:16" ht="15.6" x14ac:dyDescent="0.3">
      <c r="A4" s="33">
        <v>44831</v>
      </c>
      <c r="B4" s="2" t="s">
        <v>32</v>
      </c>
      <c r="C4" s="8">
        <v>12.965831298971281</v>
      </c>
      <c r="D4" s="25"/>
      <c r="E4" s="23"/>
      <c r="F4" s="17"/>
      <c r="G4" s="17"/>
      <c r="H4" s="15"/>
      <c r="J4" s="33">
        <v>44831</v>
      </c>
      <c r="K4" s="2" t="s">
        <v>33</v>
      </c>
      <c r="L4" s="8">
        <v>9.9801847760995983</v>
      </c>
      <c r="M4" s="16"/>
      <c r="N4" s="23"/>
      <c r="O4" s="24"/>
      <c r="P4" s="17"/>
    </row>
    <row r="5" spans="1:16" ht="15.6" x14ac:dyDescent="0.3">
      <c r="A5" s="33">
        <v>44832</v>
      </c>
      <c r="B5" s="2" t="s">
        <v>32</v>
      </c>
      <c r="C5" s="8">
        <v>12.698603272816172</v>
      </c>
      <c r="D5" s="25"/>
      <c r="E5" s="23"/>
      <c r="F5" s="17"/>
      <c r="G5" s="17"/>
      <c r="H5" s="15"/>
      <c r="J5" s="33">
        <v>44832</v>
      </c>
      <c r="K5" s="2" t="s">
        <v>33</v>
      </c>
      <c r="L5" s="8">
        <v>9.5400813764738928</v>
      </c>
      <c r="M5" s="16"/>
      <c r="N5" s="23"/>
      <c r="O5" s="24"/>
      <c r="P5" s="17"/>
    </row>
    <row r="6" spans="1:16" ht="15.6" x14ac:dyDescent="0.3">
      <c r="A6" s="33">
        <v>44833</v>
      </c>
      <c r="B6" s="2" t="s">
        <v>32</v>
      </c>
      <c r="C6" s="8">
        <v>13.618053291220908</v>
      </c>
      <c r="D6" s="25"/>
      <c r="E6" s="23"/>
      <c r="F6" s="17"/>
      <c r="G6" s="17"/>
      <c r="H6" s="15"/>
      <c r="J6" s="33">
        <v>44833</v>
      </c>
      <c r="K6" s="2" t="s">
        <v>33</v>
      </c>
      <c r="L6" s="8">
        <v>9.8975923627931852</v>
      </c>
      <c r="M6" s="16"/>
      <c r="N6" s="23"/>
      <c r="O6" s="24"/>
      <c r="P6" s="17"/>
    </row>
    <row r="7" spans="1:16" ht="15.6" x14ac:dyDescent="0.3">
      <c r="A7" s="33">
        <v>44834</v>
      </c>
      <c r="B7" s="2" t="s">
        <v>32</v>
      </c>
      <c r="C7" s="8">
        <v>12.245218903191406</v>
      </c>
      <c r="D7" s="25"/>
      <c r="E7" s="23"/>
      <c r="F7" s="17"/>
      <c r="G7" s="17"/>
      <c r="H7" s="15"/>
      <c r="J7" s="33">
        <v>44834</v>
      </c>
      <c r="K7" s="2" t="s">
        <v>33</v>
      </c>
      <c r="L7" s="8">
        <v>9.9600865667037652</v>
      </c>
      <c r="M7" s="16"/>
      <c r="N7" s="23"/>
      <c r="O7" s="24"/>
      <c r="P7" s="17"/>
    </row>
    <row r="8" spans="1:16" ht="15.6" x14ac:dyDescent="0.3">
      <c r="A8" s="33">
        <v>44835</v>
      </c>
      <c r="B8" s="2" t="s">
        <v>32</v>
      </c>
      <c r="C8" s="8">
        <v>13.363786128265302</v>
      </c>
      <c r="D8" s="25"/>
      <c r="E8" s="23"/>
      <c r="F8" s="17"/>
      <c r="G8" s="17"/>
      <c r="H8" s="15"/>
      <c r="J8" s="33">
        <v>44835</v>
      </c>
      <c r="K8" s="2" t="s">
        <v>33</v>
      </c>
      <c r="L8" s="8">
        <v>9.1665527074914053</v>
      </c>
      <c r="M8" s="16"/>
      <c r="N8" s="23"/>
      <c r="O8" s="24"/>
      <c r="P8" s="17"/>
    </row>
    <row r="9" spans="1:16" ht="15.6" x14ac:dyDescent="0.3">
      <c r="A9" s="33">
        <v>44836</v>
      </c>
      <c r="B9" s="2" t="s">
        <v>32</v>
      </c>
      <c r="C9" s="8">
        <v>13.464162808679371</v>
      </c>
      <c r="D9" s="25"/>
      <c r="E9" s="23"/>
      <c r="F9" s="17"/>
      <c r="G9" s="17"/>
      <c r="H9" s="15"/>
      <c r="J9" s="33">
        <v>44836</v>
      </c>
      <c r="K9" s="2" t="s">
        <v>33</v>
      </c>
      <c r="L9" s="8">
        <v>9.5605686641484677</v>
      </c>
      <c r="M9" s="16"/>
      <c r="N9" s="23"/>
      <c r="O9" s="24"/>
      <c r="P9" s="17"/>
    </row>
    <row r="10" spans="1:16" ht="15.6" x14ac:dyDescent="0.3">
      <c r="A10" s="33">
        <v>44837</v>
      </c>
      <c r="B10" s="2" t="s">
        <v>32</v>
      </c>
      <c r="C10" s="8">
        <v>12.557614020363598</v>
      </c>
      <c r="D10" s="25"/>
      <c r="E10" s="23"/>
      <c r="F10" s="17"/>
      <c r="G10" s="17"/>
      <c r="H10" s="15"/>
      <c r="J10" s="33">
        <v>44837</v>
      </c>
      <c r="K10" s="2" t="s">
        <v>33</v>
      </c>
      <c r="L10" s="8">
        <v>9.7233789367753101</v>
      </c>
      <c r="M10" s="16"/>
      <c r="N10" s="23"/>
      <c r="O10" s="24"/>
      <c r="P10" s="17"/>
    </row>
    <row r="11" spans="1:16" ht="15.6" x14ac:dyDescent="0.3">
      <c r="A11" s="33">
        <v>44838</v>
      </c>
      <c r="B11" s="2" t="s">
        <v>32</v>
      </c>
      <c r="C11" s="8">
        <v>13.351637531608938</v>
      </c>
      <c r="D11" s="25"/>
      <c r="E11" s="23"/>
      <c r="F11" s="17"/>
      <c r="G11" s="17"/>
      <c r="H11" s="15"/>
      <c r="J11" s="33">
        <v>44838</v>
      </c>
      <c r="K11" s="2" t="s">
        <v>33</v>
      </c>
      <c r="L11" s="8">
        <v>9.7344911714636098</v>
      </c>
      <c r="M11" s="16"/>
      <c r="N11" s="23"/>
      <c r="O11" s="24"/>
      <c r="P11" s="17"/>
    </row>
    <row r="12" spans="1:16" ht="15.6" x14ac:dyDescent="0.3">
      <c r="A12" s="33">
        <v>44839</v>
      </c>
      <c r="B12" s="2" t="s">
        <v>32</v>
      </c>
      <c r="C12" s="8">
        <v>12.114772575220778</v>
      </c>
      <c r="D12" s="25"/>
      <c r="E12" s="23"/>
      <c r="F12" s="17"/>
      <c r="G12" s="17"/>
      <c r="H12" s="15"/>
      <c r="J12" s="33">
        <v>44839</v>
      </c>
      <c r="K12" s="2" t="s">
        <v>33</v>
      </c>
      <c r="L12" s="8">
        <v>9.3532781783902799</v>
      </c>
      <c r="M12" s="16"/>
      <c r="N12" s="23"/>
      <c r="O12" s="24"/>
      <c r="P12" s="17"/>
    </row>
    <row r="13" spans="1:16" ht="15.6" x14ac:dyDescent="0.3">
      <c r="A13" s="33">
        <v>44840</v>
      </c>
      <c r="B13" s="2" t="s">
        <v>32</v>
      </c>
      <c r="C13" s="8">
        <v>13.637228143023384</v>
      </c>
      <c r="D13" s="25"/>
      <c r="E13" s="23"/>
      <c r="F13" s="17"/>
      <c r="G13" s="17"/>
      <c r="H13" s="15"/>
      <c r="J13" s="33">
        <v>44840</v>
      </c>
      <c r="K13" s="2" t="s">
        <v>33</v>
      </c>
      <c r="L13" s="8">
        <v>9.573591522253821</v>
      </c>
      <c r="M13" s="16"/>
      <c r="N13" s="23"/>
      <c r="O13" s="24"/>
      <c r="P13" s="17"/>
    </row>
    <row r="14" spans="1:16" ht="15.6" x14ac:dyDescent="0.3">
      <c r="A14" s="33">
        <v>44841</v>
      </c>
      <c r="B14" s="2" t="s">
        <v>32</v>
      </c>
      <c r="C14" s="8">
        <v>13.518365650719847</v>
      </c>
      <c r="D14" s="25"/>
      <c r="E14" s="23"/>
      <c r="F14" s="17"/>
      <c r="G14" s="17"/>
      <c r="H14" s="15"/>
      <c r="J14" s="33">
        <v>44841</v>
      </c>
      <c r="K14" s="2" t="s">
        <v>33</v>
      </c>
      <c r="L14" s="8">
        <v>9.3795593811108979</v>
      </c>
      <c r="M14" s="16"/>
      <c r="N14" s="23"/>
      <c r="O14" s="24"/>
      <c r="P14" s="17"/>
    </row>
    <row r="15" spans="1:16" ht="15.6" x14ac:dyDescent="0.3">
      <c r="A15" s="33">
        <v>44842</v>
      </c>
      <c r="B15" s="2" t="s">
        <v>32</v>
      </c>
      <c r="C15" s="8">
        <v>12.63790214178745</v>
      </c>
      <c r="D15" s="25"/>
      <c r="E15" s="23"/>
      <c r="F15" s="17"/>
      <c r="G15" s="17"/>
      <c r="H15" s="15"/>
      <c r="J15" s="33">
        <v>44842</v>
      </c>
      <c r="K15" s="2" t="s">
        <v>33</v>
      </c>
      <c r="L15" s="8">
        <v>9.4803259235007822</v>
      </c>
      <c r="M15" s="16"/>
      <c r="N15" s="23"/>
      <c r="O15" s="24"/>
      <c r="P15" s="17"/>
    </row>
    <row r="16" spans="1:16" ht="15.6" x14ac:dyDescent="0.3">
      <c r="A16" s="33">
        <v>44843</v>
      </c>
      <c r="B16" s="2" t="s">
        <v>32</v>
      </c>
      <c r="C16" s="8">
        <v>12.943643936803319</v>
      </c>
      <c r="D16" s="25"/>
      <c r="E16" s="23"/>
      <c r="F16" s="17"/>
      <c r="G16" s="17"/>
      <c r="H16" s="15"/>
      <c r="J16" s="33">
        <v>44843</v>
      </c>
      <c r="K16" s="2" t="s">
        <v>33</v>
      </c>
      <c r="L16" s="8">
        <v>9.1665842665759598</v>
      </c>
      <c r="M16" s="16"/>
      <c r="N16" s="23"/>
      <c r="O16" s="24"/>
      <c r="P16" s="17"/>
    </row>
    <row r="17" spans="1:16" ht="15.6" x14ac:dyDescent="0.3">
      <c r="A17" s="33">
        <v>44844</v>
      </c>
      <c r="B17" s="2" t="s">
        <v>32</v>
      </c>
      <c r="C17" s="8">
        <v>12.01911028416027</v>
      </c>
      <c r="D17" s="25"/>
      <c r="E17" s="23"/>
      <c r="F17" s="17"/>
      <c r="G17" s="17"/>
      <c r="H17" s="15"/>
      <c r="J17" s="33">
        <v>44844</v>
      </c>
      <c r="K17" s="2" t="s">
        <v>33</v>
      </c>
      <c r="L17" s="8">
        <v>9.8741628916615465</v>
      </c>
      <c r="M17" s="16"/>
      <c r="N17" s="23"/>
      <c r="O17" s="24"/>
      <c r="P17" s="17"/>
    </row>
    <row r="18" spans="1:16" ht="15.6" x14ac:dyDescent="0.3">
      <c r="A18" s="33">
        <v>44845</v>
      </c>
      <c r="B18" s="2" t="s">
        <v>32</v>
      </c>
      <c r="C18" s="8">
        <v>13.244121686518298</v>
      </c>
      <c r="D18" s="25"/>
      <c r="E18" s="23"/>
      <c r="F18" s="17"/>
      <c r="G18" s="17"/>
      <c r="H18" s="15"/>
      <c r="J18" s="33">
        <v>44845</v>
      </c>
      <c r="K18" s="2" t="s">
        <v>33</v>
      </c>
      <c r="L18" s="8">
        <v>9.2805523591691337</v>
      </c>
      <c r="M18" s="16"/>
      <c r="N18" s="23"/>
      <c r="O18" s="24"/>
      <c r="P18" s="17"/>
    </row>
    <row r="19" spans="1:16" ht="15.6" x14ac:dyDescent="0.3">
      <c r="A19" s="33">
        <v>44846</v>
      </c>
      <c r="B19" s="2" t="s">
        <v>32</v>
      </c>
      <c r="C19" s="8">
        <v>13.291691780984664</v>
      </c>
      <c r="D19" s="25"/>
      <c r="E19" s="23"/>
      <c r="F19" s="17"/>
      <c r="G19" s="17"/>
      <c r="H19" s="15"/>
      <c r="J19" s="33">
        <v>44846</v>
      </c>
      <c r="K19" s="2" t="s">
        <v>33</v>
      </c>
      <c r="L19" s="8">
        <v>9.9939411448664082</v>
      </c>
      <c r="M19" s="16"/>
      <c r="N19" s="23"/>
      <c r="O19" s="24"/>
      <c r="P19" s="17"/>
    </row>
    <row r="20" spans="1:16" ht="15.6" x14ac:dyDescent="0.3">
      <c r="A20" s="33">
        <v>44847</v>
      </c>
      <c r="B20" s="2" t="s">
        <v>32</v>
      </c>
      <c r="C20" s="8">
        <v>13.294101405658822</v>
      </c>
      <c r="D20" s="25"/>
      <c r="E20" s="23"/>
      <c r="F20" s="17"/>
      <c r="G20" s="17"/>
      <c r="H20" s="15"/>
      <c r="J20" s="33">
        <v>44847</v>
      </c>
      <c r="K20" s="2" t="s">
        <v>33</v>
      </c>
      <c r="L20" s="8">
        <v>9.3809893044678585</v>
      </c>
      <c r="M20" s="16"/>
      <c r="N20" s="23"/>
      <c r="O20" s="24"/>
      <c r="P20" s="17"/>
    </row>
    <row r="21" spans="1:16" ht="15.75" customHeight="1" x14ac:dyDescent="0.3">
      <c r="A21" s="33">
        <v>44848</v>
      </c>
      <c r="B21" s="2" t="s">
        <v>32</v>
      </c>
      <c r="C21" s="8">
        <v>12.074314594290703</v>
      </c>
      <c r="D21" s="25"/>
      <c r="E21" s="23"/>
      <c r="F21" s="17"/>
      <c r="G21" s="17"/>
      <c r="H21" s="15"/>
      <c r="J21" s="33">
        <v>44848</v>
      </c>
      <c r="K21" s="2" t="s">
        <v>33</v>
      </c>
      <c r="L21" s="8">
        <v>9.4936144027147229</v>
      </c>
      <c r="M21" s="16"/>
      <c r="N21" s="23"/>
      <c r="O21" s="24"/>
      <c r="P21" s="17"/>
    </row>
    <row r="22" spans="1:16" ht="15.75" customHeight="1" x14ac:dyDescent="0.3">
      <c r="A22" s="33">
        <v>44849</v>
      </c>
      <c r="B22" s="2" t="s">
        <v>32</v>
      </c>
      <c r="C22" s="8">
        <v>12.918910031821058</v>
      </c>
      <c r="D22" s="25"/>
      <c r="E22" s="23"/>
      <c r="F22" s="17"/>
      <c r="G22" s="17"/>
      <c r="H22" s="15"/>
      <c r="J22" s="33">
        <v>44849</v>
      </c>
      <c r="K22" s="2" t="s">
        <v>33</v>
      </c>
      <c r="L22" s="8">
        <v>9.7064155734404451</v>
      </c>
      <c r="M22" s="16"/>
      <c r="N22" s="23"/>
      <c r="O22" s="24"/>
      <c r="P22" s="17"/>
    </row>
    <row r="23" spans="1:16" ht="15.75" customHeight="1" x14ac:dyDescent="0.3">
      <c r="A23" s="33">
        <v>44850</v>
      </c>
      <c r="B23" s="2" t="s">
        <v>32</v>
      </c>
      <c r="C23" s="8">
        <v>13.54324751690049</v>
      </c>
      <c r="D23" s="25"/>
      <c r="E23" s="23"/>
      <c r="F23" s="17"/>
      <c r="G23" s="17"/>
      <c r="H23" s="15"/>
      <c r="J23" s="33">
        <v>44850</v>
      </c>
      <c r="K23" s="2" t="s">
        <v>33</v>
      </c>
      <c r="L23" s="8">
        <v>9.4975652896915275</v>
      </c>
      <c r="M23" s="16"/>
      <c r="N23" s="23"/>
      <c r="O23" s="24"/>
      <c r="P23" s="17"/>
    </row>
    <row r="24" spans="1:16" ht="15.75" customHeight="1" x14ac:dyDescent="0.3">
      <c r="A24" s="33">
        <v>44851</v>
      </c>
      <c r="B24" s="2" t="s">
        <v>32</v>
      </c>
      <c r="C24" s="8">
        <v>13.502584949625422</v>
      </c>
      <c r="D24" s="25"/>
      <c r="E24" s="23"/>
      <c r="F24" s="17"/>
      <c r="G24" s="17"/>
      <c r="H24" s="15"/>
      <c r="J24" s="33">
        <v>44851</v>
      </c>
      <c r="K24" s="2" t="s">
        <v>33</v>
      </c>
      <c r="L24" s="8">
        <v>9.0312415786258899</v>
      </c>
      <c r="M24" s="16"/>
      <c r="N24" s="23"/>
      <c r="O24" s="24"/>
      <c r="P24" s="17"/>
    </row>
    <row r="25" spans="1:16" ht="15.75" customHeight="1" x14ac:dyDescent="0.3">
      <c r="A25" s="33">
        <v>44852</v>
      </c>
      <c r="B25" s="2" t="s">
        <v>32</v>
      </c>
      <c r="C25" s="8">
        <v>13.224759206854827</v>
      </c>
      <c r="D25" s="25"/>
      <c r="E25" s="23"/>
      <c r="F25" s="17"/>
      <c r="G25" s="17"/>
      <c r="H25" s="15"/>
      <c r="J25" s="33">
        <v>44852</v>
      </c>
      <c r="K25" s="2" t="s">
        <v>33</v>
      </c>
      <c r="L25" s="8">
        <v>9.9427320604135829</v>
      </c>
      <c r="M25" s="16"/>
      <c r="N25" s="23"/>
      <c r="O25" s="24"/>
      <c r="P25" s="17"/>
    </row>
    <row r="26" spans="1:16" ht="15.75" customHeight="1" x14ac:dyDescent="0.3">
      <c r="A26" s="33">
        <v>44853</v>
      </c>
      <c r="B26" s="2" t="s">
        <v>32</v>
      </c>
      <c r="C26" s="8">
        <v>13.133906194747455</v>
      </c>
      <c r="D26" s="25"/>
      <c r="E26" s="23"/>
      <c r="F26" s="17"/>
      <c r="G26" s="17"/>
      <c r="H26" s="15"/>
      <c r="J26" s="33">
        <v>44853</v>
      </c>
      <c r="K26" s="2" t="s">
        <v>33</v>
      </c>
      <c r="L26" s="8">
        <v>9.1967230024858591</v>
      </c>
      <c r="M26" s="16"/>
      <c r="N26" s="23"/>
      <c r="O26" s="24"/>
      <c r="P26" s="17"/>
    </row>
    <row r="27" spans="1:16" ht="15.75" customHeight="1" x14ac:dyDescent="0.3">
      <c r="A27" s="33">
        <v>44854</v>
      </c>
      <c r="B27" s="2" t="s">
        <v>32</v>
      </c>
      <c r="C27" s="8">
        <v>12.417008258937525</v>
      </c>
      <c r="D27" s="25"/>
      <c r="E27" s="23"/>
      <c r="F27" s="17"/>
      <c r="G27" s="17"/>
      <c r="H27" s="15"/>
      <c r="J27" s="33">
        <v>44854</v>
      </c>
      <c r="K27" s="2" t="s">
        <v>33</v>
      </c>
      <c r="L27" s="8">
        <v>9.7601209289277318</v>
      </c>
      <c r="M27" s="16"/>
      <c r="N27" s="23"/>
      <c r="O27" s="24"/>
      <c r="P27" s="17"/>
    </row>
    <row r="28" spans="1:16" ht="15.75" customHeight="1" x14ac:dyDescent="0.3">
      <c r="A28" s="33">
        <v>44855</v>
      </c>
      <c r="B28" s="2" t="s">
        <v>32</v>
      </c>
      <c r="C28" s="8">
        <v>12.782812108229658</v>
      </c>
      <c r="D28" s="25"/>
      <c r="E28" s="23"/>
      <c r="F28" s="17"/>
      <c r="G28" s="17"/>
      <c r="H28" s="15"/>
      <c r="J28" s="33">
        <v>44855</v>
      </c>
      <c r="K28" s="2" t="s">
        <v>33</v>
      </c>
      <c r="L28" s="8">
        <v>9.3242005729880546</v>
      </c>
      <c r="M28" s="16"/>
      <c r="N28" s="23"/>
      <c r="O28" s="24"/>
      <c r="P28" s="17"/>
    </row>
    <row r="29" spans="1:16" ht="15.75" customHeight="1" x14ac:dyDescent="0.3">
      <c r="A29" s="33">
        <v>44856</v>
      </c>
      <c r="B29" s="2" t="s">
        <v>32</v>
      </c>
      <c r="C29" s="8">
        <v>12.520818449437494</v>
      </c>
      <c r="D29" s="25"/>
      <c r="E29" s="23"/>
      <c r="F29" s="17"/>
      <c r="G29" s="17"/>
      <c r="H29" s="15"/>
      <c r="J29" s="33">
        <v>44856</v>
      </c>
      <c r="K29" s="2" t="s">
        <v>33</v>
      </c>
      <c r="L29" s="8">
        <v>9.8130737942986705</v>
      </c>
      <c r="M29" s="16"/>
      <c r="N29" s="23"/>
      <c r="O29" s="24"/>
      <c r="P29" s="17"/>
    </row>
    <row r="30" spans="1:16" ht="15.75" customHeight="1" x14ac:dyDescent="0.3">
      <c r="A30" s="33">
        <v>44857</v>
      </c>
      <c r="B30" s="2" t="s">
        <v>32</v>
      </c>
      <c r="C30" s="8">
        <v>13.093877684187589</v>
      </c>
      <c r="D30" s="25"/>
      <c r="E30" s="23"/>
      <c r="F30" s="17"/>
      <c r="G30" s="17"/>
      <c r="H30" s="15"/>
      <c r="J30" s="33">
        <v>44857</v>
      </c>
      <c r="K30" s="2" t="s">
        <v>33</v>
      </c>
      <c r="L30" s="8">
        <v>9.9993483957784335</v>
      </c>
      <c r="M30" s="16"/>
      <c r="N30" s="23"/>
      <c r="O30" s="24"/>
      <c r="P30" s="17"/>
    </row>
    <row r="31" spans="1:16" ht="15.75" customHeight="1" x14ac:dyDescent="0.3">
      <c r="A31" s="33">
        <v>44858</v>
      </c>
      <c r="B31" s="2" t="s">
        <v>32</v>
      </c>
      <c r="C31" s="8">
        <v>13.781367306555023</v>
      </c>
      <c r="D31" s="25"/>
      <c r="E31" s="23"/>
      <c r="F31" s="17"/>
      <c r="G31" s="17"/>
      <c r="H31" s="15"/>
      <c r="J31" s="33">
        <v>44858</v>
      </c>
      <c r="K31" s="2" t="s">
        <v>33</v>
      </c>
      <c r="L31" s="8">
        <v>9.5422412016755835</v>
      </c>
      <c r="M31" s="16"/>
      <c r="N31" s="23"/>
      <c r="O31" s="24"/>
      <c r="P31" s="17"/>
    </row>
    <row r="32" spans="1:16" ht="15.75" customHeight="1" x14ac:dyDescent="0.3">
      <c r="A32" s="33">
        <v>44859</v>
      </c>
      <c r="B32" s="2" t="s">
        <v>32</v>
      </c>
      <c r="C32" s="8">
        <v>13.701445840390386</v>
      </c>
      <c r="D32" s="25"/>
      <c r="E32" s="23"/>
      <c r="F32" s="17"/>
      <c r="G32" s="17"/>
      <c r="H32" s="15"/>
      <c r="J32" s="33">
        <v>44859</v>
      </c>
      <c r="K32" s="2" t="s">
        <v>33</v>
      </c>
      <c r="L32" s="8">
        <v>9.5453978701652993</v>
      </c>
      <c r="M32" s="16"/>
      <c r="N32" s="23"/>
      <c r="O32" s="24"/>
      <c r="P32" s="17"/>
    </row>
    <row r="33" spans="1:16" ht="15.75" customHeight="1" x14ac:dyDescent="0.3">
      <c r="A33" s="33">
        <v>44860</v>
      </c>
      <c r="B33" s="2" t="s">
        <v>32</v>
      </c>
      <c r="C33" s="8">
        <v>13.170942743681058</v>
      </c>
      <c r="D33" s="25"/>
      <c r="E33" s="23"/>
      <c r="F33" s="17"/>
      <c r="G33" s="17"/>
      <c r="H33" s="15"/>
      <c r="J33" s="33">
        <v>44860</v>
      </c>
      <c r="K33" s="2" t="s">
        <v>33</v>
      </c>
      <c r="L33" s="8">
        <v>9.1990238665546098</v>
      </c>
      <c r="M33" s="16"/>
      <c r="N33" s="23"/>
      <c r="O33" s="24"/>
      <c r="P33" s="17"/>
    </row>
    <row r="34" spans="1:16" ht="15.75" customHeight="1" x14ac:dyDescent="0.3">
      <c r="A34" s="33">
        <v>44861</v>
      </c>
      <c r="B34" s="2" t="s">
        <v>32</v>
      </c>
      <c r="C34" s="8">
        <v>13.928191338062682</v>
      </c>
      <c r="D34" s="25"/>
      <c r="E34" s="23"/>
      <c r="F34" s="17"/>
      <c r="G34" s="17"/>
      <c r="H34" s="15"/>
      <c r="J34" s="33">
        <v>44861</v>
      </c>
      <c r="K34" s="2" t="s">
        <v>33</v>
      </c>
      <c r="L34" s="8">
        <v>9.7830471688919634</v>
      </c>
      <c r="M34" s="16"/>
      <c r="N34" s="23"/>
      <c r="O34" s="24"/>
      <c r="P34" s="17"/>
    </row>
    <row r="35" spans="1:16" ht="15.75" customHeight="1" x14ac:dyDescent="0.3">
      <c r="A35" s="33">
        <v>44862</v>
      </c>
      <c r="B35" s="2" t="s">
        <v>32</v>
      </c>
      <c r="C35" s="8">
        <v>13.058182275609912</v>
      </c>
      <c r="D35" s="25"/>
      <c r="E35" s="23"/>
      <c r="F35" s="17"/>
      <c r="G35" s="17"/>
      <c r="H35" s="15"/>
      <c r="J35" s="33">
        <v>44862</v>
      </c>
      <c r="K35" s="2" t="s">
        <v>33</v>
      </c>
      <c r="L35" s="8">
        <v>9.0648584020333658</v>
      </c>
      <c r="M35" s="16"/>
      <c r="N35" s="23"/>
      <c r="O35" s="24"/>
      <c r="P35" s="17"/>
    </row>
    <row r="36" spans="1:16" ht="15.75" customHeight="1" x14ac:dyDescent="0.3">
      <c r="A36" s="33">
        <v>44863</v>
      </c>
      <c r="B36" s="2" t="s">
        <v>32</v>
      </c>
      <c r="C36" s="8">
        <v>12.897637837993791</v>
      </c>
      <c r="D36" s="25"/>
      <c r="E36" s="23"/>
      <c r="F36" s="17"/>
      <c r="G36" s="17"/>
      <c r="H36" s="15"/>
      <c r="J36" s="33">
        <v>44863</v>
      </c>
      <c r="K36" s="2" t="s">
        <v>33</v>
      </c>
      <c r="L36" s="8">
        <v>9.7848928203932832</v>
      </c>
      <c r="M36" s="16"/>
      <c r="N36" s="23"/>
      <c r="O36" s="24"/>
      <c r="P36" s="17"/>
    </row>
    <row r="37" spans="1:16" ht="15.75" customHeight="1" x14ac:dyDescent="0.3">
      <c r="A37" s="33">
        <v>44864</v>
      </c>
      <c r="B37" s="2" t="s">
        <v>32</v>
      </c>
      <c r="C37" s="8">
        <v>12.999494680765277</v>
      </c>
      <c r="D37" s="25"/>
      <c r="E37" s="23"/>
      <c r="F37" s="17"/>
      <c r="G37" s="17"/>
      <c r="H37" s="15"/>
      <c r="J37" s="33">
        <v>44864</v>
      </c>
      <c r="K37" s="2" t="s">
        <v>33</v>
      </c>
      <c r="L37" s="8">
        <v>9.5408344295873651</v>
      </c>
      <c r="M37" s="16"/>
      <c r="N37" s="23"/>
      <c r="O37" s="24"/>
      <c r="P37" s="17"/>
    </row>
    <row r="38" spans="1:16" ht="15.75" customHeight="1" x14ac:dyDescent="0.3">
      <c r="A38" s="33">
        <v>44865</v>
      </c>
      <c r="B38" s="2" t="s">
        <v>32</v>
      </c>
      <c r="C38" s="8">
        <v>12.699950506237034</v>
      </c>
      <c r="D38" s="25"/>
      <c r="E38" s="23"/>
      <c r="F38" s="17"/>
      <c r="G38" s="17"/>
      <c r="H38" s="15"/>
      <c r="J38" s="33">
        <v>44865</v>
      </c>
      <c r="K38" s="2" t="s">
        <v>33</v>
      </c>
      <c r="L38" s="8">
        <v>9.2807377927813253</v>
      </c>
      <c r="M38" s="16"/>
      <c r="N38" s="23"/>
      <c r="O38" s="24"/>
      <c r="P38" s="17"/>
    </row>
    <row r="39" spans="1:16" ht="15.75" customHeight="1" x14ac:dyDescent="0.3">
      <c r="A39" s="33">
        <v>44866</v>
      </c>
      <c r="B39" s="2" t="s">
        <v>32</v>
      </c>
      <c r="C39" s="8">
        <v>12.447813077221305</v>
      </c>
      <c r="D39" s="25"/>
      <c r="E39" s="23"/>
      <c r="F39" s="17"/>
      <c r="G39" s="17"/>
      <c r="H39" s="15"/>
      <c r="J39" s="33">
        <v>44866</v>
      </c>
      <c r="K39" s="2" t="s">
        <v>33</v>
      </c>
      <c r="L39" s="8">
        <v>9.7915559512430619</v>
      </c>
      <c r="M39" s="16"/>
      <c r="N39" s="23"/>
      <c r="O39" s="24"/>
      <c r="P39" s="17"/>
    </row>
    <row r="40" spans="1:16" ht="15.75" customHeight="1" x14ac:dyDescent="0.3">
      <c r="A40" s="33">
        <v>44867</v>
      </c>
      <c r="B40" s="2" t="s">
        <v>32</v>
      </c>
      <c r="C40" s="8">
        <v>13.683959381353434</v>
      </c>
      <c r="D40" s="25"/>
      <c r="E40" s="23"/>
      <c r="F40" s="17"/>
      <c r="G40" s="17"/>
      <c r="H40" s="15"/>
      <c r="J40" s="33">
        <v>44867</v>
      </c>
      <c r="K40" s="2" t="s">
        <v>33</v>
      </c>
      <c r="L40" s="8">
        <v>9.8431715102713877</v>
      </c>
      <c r="M40" s="16"/>
      <c r="N40" s="23"/>
      <c r="O40" s="24"/>
      <c r="P40" s="17"/>
    </row>
    <row r="41" spans="1:16" ht="15.75" customHeight="1" x14ac:dyDescent="0.3">
      <c r="A41" s="33">
        <v>44868</v>
      </c>
      <c r="B41" s="2" t="s">
        <v>32</v>
      </c>
      <c r="C41" s="8">
        <v>12.80283444426016</v>
      </c>
      <c r="D41" s="25"/>
      <c r="E41" s="23"/>
      <c r="F41" s="17"/>
      <c r="G41" s="17"/>
      <c r="H41" s="15"/>
      <c r="J41" s="33">
        <v>44868</v>
      </c>
      <c r="K41" s="2" t="s">
        <v>33</v>
      </c>
      <c r="L41" s="8">
        <v>9.2828498523257093</v>
      </c>
      <c r="M41" s="16"/>
      <c r="N41" s="23"/>
      <c r="O41" s="24"/>
      <c r="P41" s="17"/>
    </row>
    <row r="42" spans="1:16" ht="15.75" customHeight="1" x14ac:dyDescent="0.3">
      <c r="A42" s="33">
        <v>44869</v>
      </c>
      <c r="B42" s="2" t="s">
        <v>32</v>
      </c>
      <c r="C42" s="8">
        <v>13.247843935395325</v>
      </c>
      <c r="D42" s="25"/>
      <c r="E42" s="23"/>
      <c r="F42" s="17"/>
      <c r="G42" s="17"/>
      <c r="H42" s="15"/>
      <c r="J42" s="33">
        <v>44869</v>
      </c>
      <c r="K42" s="2" t="s">
        <v>33</v>
      </c>
      <c r="L42" s="8">
        <v>9.3946410425478497</v>
      </c>
      <c r="M42" s="16"/>
      <c r="N42" s="23"/>
      <c r="O42" s="24"/>
      <c r="P42" s="17"/>
    </row>
    <row r="43" spans="1:16" ht="15.75" customHeight="1" x14ac:dyDescent="0.3">
      <c r="A43" s="33">
        <v>44870</v>
      </c>
      <c r="B43" s="2" t="s">
        <v>32</v>
      </c>
      <c r="C43" s="8">
        <v>13.332102040565786</v>
      </c>
      <c r="D43" s="25"/>
      <c r="E43" s="23"/>
      <c r="F43" s="17"/>
      <c r="G43" s="17"/>
      <c r="H43" s="15"/>
      <c r="J43" s="33">
        <v>44870</v>
      </c>
      <c r="K43" s="2" t="s">
        <v>33</v>
      </c>
      <c r="L43" s="8">
        <v>9.0619462626009213</v>
      </c>
      <c r="M43" s="16"/>
      <c r="N43" s="23"/>
      <c r="O43" s="24"/>
      <c r="P43" s="17"/>
    </row>
    <row r="44" spans="1:16" ht="15.75" customHeight="1" x14ac:dyDescent="0.3">
      <c r="A44" s="33">
        <v>44871</v>
      </c>
      <c r="B44" s="2" t="s">
        <v>32</v>
      </c>
      <c r="C44" s="8">
        <v>13.863497944237949</v>
      </c>
      <c r="D44" s="25"/>
      <c r="E44" s="23"/>
      <c r="F44" s="17"/>
      <c r="G44" s="17"/>
      <c r="H44" s="15"/>
      <c r="J44" s="33">
        <v>44871</v>
      </c>
      <c r="K44" s="2" t="s">
        <v>33</v>
      </c>
      <c r="L44" s="8">
        <v>9.1202201184232727</v>
      </c>
      <c r="M44" s="16"/>
      <c r="N44" s="23"/>
      <c r="O44" s="24"/>
      <c r="P44" s="17"/>
    </row>
    <row r="45" spans="1:16" ht="15.75" customHeight="1" x14ac:dyDescent="0.3">
      <c r="A45" s="33">
        <v>44872</v>
      </c>
      <c r="B45" s="2" t="s">
        <v>32</v>
      </c>
      <c r="C45" s="8">
        <v>13.78657571290573</v>
      </c>
      <c r="D45" s="25"/>
      <c r="E45" s="23"/>
      <c r="F45" s="17"/>
      <c r="G45" s="17"/>
      <c r="H45" s="15"/>
      <c r="J45" s="33">
        <v>44872</v>
      </c>
      <c r="K45" s="2" t="s">
        <v>33</v>
      </c>
      <c r="L45" s="8">
        <v>9.6913044351354856</v>
      </c>
      <c r="M45" s="16"/>
      <c r="N45" s="23"/>
      <c r="O45" s="24"/>
      <c r="P45" s="17"/>
    </row>
    <row r="46" spans="1:16" ht="15.75" customHeight="1" x14ac:dyDescent="0.3">
      <c r="A46" s="33">
        <v>44873</v>
      </c>
      <c r="B46" s="2" t="s">
        <v>32</v>
      </c>
      <c r="C46" s="8">
        <v>12.348805341161601</v>
      </c>
      <c r="D46" s="25"/>
      <c r="E46" s="23"/>
      <c r="F46" s="17"/>
      <c r="G46" s="17"/>
      <c r="H46" s="15"/>
      <c r="J46" s="33">
        <v>44873</v>
      </c>
      <c r="K46" s="2" t="s">
        <v>33</v>
      </c>
      <c r="L46" s="8">
        <v>9.5649431343531948</v>
      </c>
      <c r="M46" s="16"/>
      <c r="N46" s="23"/>
      <c r="O46" s="24"/>
      <c r="P46" s="17"/>
    </row>
    <row r="47" spans="1:16" ht="15.75" customHeight="1" x14ac:dyDescent="0.3">
      <c r="A47" s="33">
        <v>44874</v>
      </c>
      <c r="B47" s="2" t="s">
        <v>32</v>
      </c>
      <c r="C47" s="8">
        <v>12.636851521655812</v>
      </c>
      <c r="D47" s="25"/>
      <c r="E47" s="23"/>
      <c r="F47" s="17"/>
      <c r="G47" s="17"/>
      <c r="H47" s="15"/>
      <c r="J47" s="33">
        <v>44874</v>
      </c>
      <c r="K47" s="2" t="s">
        <v>33</v>
      </c>
      <c r="L47" s="8">
        <v>9.0166562307477722</v>
      </c>
      <c r="M47" s="16"/>
      <c r="N47" s="23"/>
      <c r="O47" s="24"/>
      <c r="P47" s="17"/>
    </row>
    <row r="48" spans="1:16" ht="15.75" customHeight="1" x14ac:dyDescent="0.3">
      <c r="A48" s="33">
        <v>44875</v>
      </c>
      <c r="B48" s="2" t="s">
        <v>32</v>
      </c>
      <c r="C48" s="8">
        <v>13.607662838216992</v>
      </c>
      <c r="D48" s="25"/>
      <c r="E48" s="23"/>
      <c r="F48" s="17"/>
      <c r="G48" s="17"/>
      <c r="H48" s="15"/>
      <c r="J48" s="33">
        <v>44875</v>
      </c>
      <c r="K48" s="2" t="s">
        <v>33</v>
      </c>
      <c r="L48" s="8">
        <v>9.6395363267597745</v>
      </c>
      <c r="M48" s="16"/>
      <c r="N48" s="23"/>
      <c r="O48" s="24"/>
      <c r="P48" s="17"/>
    </row>
    <row r="49" spans="1:16" ht="15.75" customHeight="1" x14ac:dyDescent="0.3">
      <c r="A49" s="33">
        <v>44876</v>
      </c>
      <c r="B49" s="2" t="s">
        <v>32</v>
      </c>
      <c r="C49" s="8">
        <v>12.792326144342123</v>
      </c>
      <c r="D49" s="25"/>
      <c r="E49" s="23"/>
      <c r="F49" s="17"/>
      <c r="G49" s="17"/>
      <c r="H49" s="15"/>
      <c r="J49" s="33">
        <v>44876</v>
      </c>
      <c r="K49" s="2" t="s">
        <v>33</v>
      </c>
      <c r="L49" s="8">
        <v>9.2825300433096736</v>
      </c>
      <c r="M49" s="16"/>
      <c r="N49" s="23"/>
      <c r="O49" s="24"/>
      <c r="P49" s="17"/>
    </row>
    <row r="50" spans="1:16" ht="15.75" customHeight="1" x14ac:dyDescent="0.3">
      <c r="A50" s="33">
        <v>44877</v>
      </c>
      <c r="B50" s="2" t="s">
        <v>32</v>
      </c>
      <c r="C50" s="8">
        <v>12.855597087069443</v>
      </c>
      <c r="D50" s="25"/>
      <c r="E50" s="23"/>
      <c r="F50" s="17"/>
      <c r="G50" s="17"/>
      <c r="H50" s="15"/>
      <c r="J50" s="33">
        <v>44877</v>
      </c>
      <c r="K50" s="2" t="s">
        <v>33</v>
      </c>
      <c r="L50" s="8">
        <v>9.8804070724550197</v>
      </c>
      <c r="M50" s="16"/>
      <c r="N50" s="23"/>
      <c r="O50" s="24"/>
      <c r="P50" s="17"/>
    </row>
    <row r="51" spans="1:16" ht="15.75" customHeight="1" x14ac:dyDescent="0.3">
      <c r="A51" s="33">
        <v>44878</v>
      </c>
      <c r="B51" s="2" t="s">
        <v>32</v>
      </c>
      <c r="C51" s="8">
        <v>13.36699486157306</v>
      </c>
      <c r="D51" s="25"/>
      <c r="E51" s="23"/>
      <c r="F51" s="17"/>
      <c r="G51" s="17"/>
      <c r="H51" s="15"/>
      <c r="J51" s="33">
        <v>44878</v>
      </c>
      <c r="K51" s="2" t="s">
        <v>33</v>
      </c>
      <c r="L51" s="8">
        <v>9.8140732014655701</v>
      </c>
      <c r="M51" s="16"/>
      <c r="N51" s="23"/>
      <c r="O51" s="24"/>
      <c r="P51" s="17"/>
    </row>
    <row r="52" spans="1:16" ht="15.75" customHeight="1" x14ac:dyDescent="0.3">
      <c r="A52" s="33">
        <v>44879</v>
      </c>
      <c r="B52" s="2" t="s">
        <v>32</v>
      </c>
      <c r="C52" s="8">
        <v>13.561508589450392</v>
      </c>
      <c r="D52" s="25"/>
      <c r="E52" s="23"/>
      <c r="F52" s="17"/>
      <c r="G52" s="17"/>
      <c r="H52" s="15"/>
      <c r="J52" s="33">
        <v>44879</v>
      </c>
      <c r="K52" s="2" t="s">
        <v>33</v>
      </c>
      <c r="L52" s="8">
        <v>9.6137258836780948</v>
      </c>
      <c r="M52" s="16"/>
      <c r="N52" s="23"/>
      <c r="O52" s="24"/>
      <c r="P52" s="17"/>
    </row>
    <row r="53" spans="1:16" ht="15.75" customHeight="1" x14ac:dyDescent="0.3">
      <c r="A53" s="33">
        <v>44880</v>
      </c>
      <c r="B53" s="2" t="s">
        <v>32</v>
      </c>
      <c r="C53" s="8">
        <v>13.860114831249781</v>
      </c>
      <c r="D53" s="25"/>
      <c r="E53" s="23"/>
      <c r="F53" s="17"/>
      <c r="G53" s="17"/>
      <c r="H53" s="15"/>
      <c r="J53" s="33">
        <v>44880</v>
      </c>
      <c r="K53" s="2" t="s">
        <v>33</v>
      </c>
      <c r="L53" s="8">
        <v>9.5751048032362771</v>
      </c>
      <c r="M53" s="16"/>
      <c r="N53" s="23"/>
      <c r="O53" s="24"/>
      <c r="P53" s="17"/>
    </row>
    <row r="54" spans="1:16" ht="15.75" customHeight="1" x14ac:dyDescent="0.3">
      <c r="A54" s="33">
        <v>44881</v>
      </c>
      <c r="B54" s="2" t="s">
        <v>32</v>
      </c>
      <c r="C54" s="8">
        <v>13.441946994998563</v>
      </c>
      <c r="D54" s="25"/>
      <c r="E54" s="23"/>
      <c r="F54" s="17"/>
      <c r="G54" s="17"/>
      <c r="H54" s="15"/>
      <c r="J54" s="33">
        <v>44881</v>
      </c>
      <c r="K54" s="2" t="s">
        <v>33</v>
      </c>
      <c r="L54" s="8">
        <v>9.492364065879336</v>
      </c>
      <c r="M54" s="16"/>
      <c r="N54" s="23"/>
      <c r="O54" s="24"/>
      <c r="P54" s="17"/>
    </row>
    <row r="55" spans="1:16" ht="15.75" customHeight="1" x14ac:dyDescent="0.3">
      <c r="A55" s="33">
        <v>44882</v>
      </c>
      <c r="B55" s="2" t="s">
        <v>32</v>
      </c>
      <c r="C55" s="8">
        <v>12.271796677647934</v>
      </c>
      <c r="D55" s="25"/>
      <c r="E55" s="23"/>
      <c r="F55" s="17"/>
      <c r="G55" s="17"/>
      <c r="H55" s="15"/>
      <c r="J55" s="33">
        <v>44882</v>
      </c>
      <c r="K55" s="2" t="s">
        <v>33</v>
      </c>
      <c r="L55" s="8">
        <v>9.3548243674531211</v>
      </c>
      <c r="M55" s="16"/>
      <c r="N55" s="23"/>
      <c r="O55" s="24"/>
      <c r="P55" s="17"/>
    </row>
    <row r="56" spans="1:16" ht="15.75" customHeight="1" x14ac:dyDescent="0.3">
      <c r="A56" s="33">
        <v>44883</v>
      </c>
      <c r="B56" s="2" t="s">
        <v>32</v>
      </c>
      <c r="C56" s="8">
        <v>12.478151449202713</v>
      </c>
      <c r="D56" s="25"/>
      <c r="E56" s="23"/>
      <c r="F56" s="17"/>
      <c r="G56" s="17"/>
      <c r="H56" s="15"/>
      <c r="J56" s="33">
        <v>44883</v>
      </c>
      <c r="K56" s="2" t="s">
        <v>33</v>
      </c>
      <c r="L56" s="8">
        <v>9.1194636031282634</v>
      </c>
      <c r="M56" s="16"/>
      <c r="N56" s="23"/>
      <c r="O56" s="24"/>
      <c r="P56" s="17"/>
    </row>
    <row r="57" spans="1:16" ht="15.75" customHeight="1" x14ac:dyDescent="0.3">
      <c r="A57" s="33">
        <v>44884</v>
      </c>
      <c r="B57" s="2" t="s">
        <v>32</v>
      </c>
      <c r="C57" s="8">
        <v>12.823102300307795</v>
      </c>
      <c r="D57" s="25"/>
      <c r="E57" s="23"/>
      <c r="F57" s="17"/>
      <c r="G57" s="17"/>
      <c r="H57" s="15"/>
      <c r="J57" s="33">
        <v>44884</v>
      </c>
      <c r="K57" s="2" t="s">
        <v>33</v>
      </c>
      <c r="L57" s="8">
        <v>9.2984200057587749</v>
      </c>
      <c r="M57" s="16"/>
      <c r="N57" s="23"/>
      <c r="O57" s="24"/>
      <c r="P57" s="17"/>
    </row>
    <row r="58" spans="1:16" ht="15.75" customHeight="1" x14ac:dyDescent="0.3">
      <c r="A58" s="33">
        <v>44885</v>
      </c>
      <c r="B58" s="2" t="s">
        <v>32</v>
      </c>
      <c r="C58" s="8">
        <v>13.378884027766482</v>
      </c>
      <c r="D58" s="25"/>
      <c r="E58" s="23"/>
      <c r="F58" s="17"/>
      <c r="G58" s="17"/>
      <c r="H58" s="15"/>
      <c r="J58" s="33">
        <v>44885</v>
      </c>
      <c r="K58" s="2" t="s">
        <v>33</v>
      </c>
      <c r="L58" s="8">
        <v>9.3827745798896878</v>
      </c>
      <c r="M58" s="16"/>
      <c r="N58" s="23"/>
      <c r="O58" s="24"/>
      <c r="P58" s="17"/>
    </row>
    <row r="59" spans="1:16" ht="15.75" customHeight="1" x14ac:dyDescent="0.3">
      <c r="A59" s="33">
        <v>44886</v>
      </c>
      <c r="B59" s="2" t="s">
        <v>32</v>
      </c>
      <c r="C59" s="8">
        <v>13.654060305660817</v>
      </c>
      <c r="D59" s="25"/>
      <c r="E59" s="23"/>
      <c r="F59" s="17"/>
      <c r="G59" s="17"/>
      <c r="H59" s="15"/>
      <c r="J59" s="33">
        <v>44886</v>
      </c>
      <c r="K59" s="2" t="s">
        <v>33</v>
      </c>
      <c r="L59" s="8">
        <v>9.602032662618841</v>
      </c>
      <c r="M59" s="16"/>
      <c r="N59" s="23"/>
      <c r="O59" s="24"/>
      <c r="P59" s="17"/>
    </row>
    <row r="60" spans="1:16" ht="15.75" customHeight="1" x14ac:dyDescent="0.3">
      <c r="A60" s="33">
        <v>44887</v>
      </c>
      <c r="B60" s="2" t="s">
        <v>32</v>
      </c>
      <c r="C60" s="8">
        <v>12.631119084643194</v>
      </c>
      <c r="D60" s="25"/>
      <c r="E60" s="23"/>
      <c r="F60" s="17"/>
      <c r="G60" s="17"/>
      <c r="H60" s="15"/>
      <c r="J60" s="33">
        <v>44887</v>
      </c>
      <c r="K60" s="2" t="s">
        <v>33</v>
      </c>
      <c r="L60" s="8">
        <v>9.5169811618851217</v>
      </c>
      <c r="M60" s="16"/>
      <c r="N60" s="23"/>
      <c r="O60" s="24"/>
      <c r="P60" s="17"/>
    </row>
    <row r="61" spans="1:16" ht="15.75" customHeight="1" x14ac:dyDescent="0.3">
      <c r="A61" s="33">
        <v>44888</v>
      </c>
      <c r="B61" s="2" t="s">
        <v>32</v>
      </c>
      <c r="C61" s="8">
        <v>12.094056827270535</v>
      </c>
      <c r="D61" s="25"/>
      <c r="E61" s="23"/>
      <c r="F61" s="17"/>
      <c r="G61" s="17"/>
      <c r="H61" s="15"/>
      <c r="J61" s="33">
        <v>44888</v>
      </c>
      <c r="K61" s="2" t="s">
        <v>33</v>
      </c>
      <c r="L61" s="8">
        <v>9.7653369763142095</v>
      </c>
      <c r="M61" s="16"/>
      <c r="N61" s="23"/>
      <c r="O61" s="24"/>
      <c r="P61" s="17"/>
    </row>
    <row r="62" spans="1:16" ht="15.75" customHeight="1" x14ac:dyDescent="0.3">
      <c r="A62" s="33">
        <v>44889</v>
      </c>
      <c r="B62" s="2" t="s">
        <v>32</v>
      </c>
      <c r="C62" s="8">
        <v>12.369432954635959</v>
      </c>
      <c r="D62" s="25"/>
      <c r="E62" s="23"/>
      <c r="F62" s="17"/>
      <c r="G62" s="17"/>
      <c r="H62" s="15"/>
      <c r="J62" s="33">
        <v>44889</v>
      </c>
      <c r="K62" s="2" t="s">
        <v>33</v>
      </c>
      <c r="L62" s="8">
        <v>9.4325566250750921</v>
      </c>
      <c r="M62" s="16"/>
      <c r="N62" s="23"/>
      <c r="O62" s="24"/>
      <c r="P62" s="17"/>
    </row>
    <row r="63" spans="1:16" ht="15.75" customHeight="1" x14ac:dyDescent="0.3">
      <c r="A63" s="33">
        <v>44890</v>
      </c>
      <c r="B63" s="2" t="s">
        <v>32</v>
      </c>
      <c r="C63" s="8">
        <v>13.706459438952988</v>
      </c>
      <c r="D63" s="25"/>
      <c r="E63" s="23"/>
      <c r="F63" s="17"/>
      <c r="G63" s="17"/>
      <c r="H63" s="15"/>
      <c r="J63" s="33">
        <v>44890</v>
      </c>
      <c r="K63" s="2" t="s">
        <v>33</v>
      </c>
      <c r="L63" s="8">
        <v>9.1137127349385914</v>
      </c>
      <c r="M63" s="16"/>
      <c r="N63" s="23"/>
      <c r="O63" s="24"/>
      <c r="P63" s="17"/>
    </row>
    <row r="64" spans="1:16" ht="15.75" customHeight="1" x14ac:dyDescent="0.3">
      <c r="A64" s="33">
        <v>44891</v>
      </c>
      <c r="B64" s="2" t="s">
        <v>32</v>
      </c>
      <c r="C64" s="8">
        <v>12.013238850505253</v>
      </c>
      <c r="D64" s="25"/>
      <c r="E64" s="23"/>
      <c r="F64" s="17"/>
      <c r="G64" s="17"/>
      <c r="H64" s="15"/>
      <c r="J64" s="33">
        <v>44891</v>
      </c>
      <c r="K64" s="2" t="s">
        <v>33</v>
      </c>
      <c r="L64" s="8">
        <v>9.222877117610297</v>
      </c>
      <c r="M64" s="16"/>
      <c r="N64" s="23"/>
      <c r="O64" s="24"/>
      <c r="P64" s="17"/>
    </row>
    <row r="65" spans="1:16" ht="15.75" customHeight="1" x14ac:dyDescent="0.3">
      <c r="A65" s="33">
        <v>44892</v>
      </c>
      <c r="B65" s="2" t="s">
        <v>32</v>
      </c>
      <c r="C65" s="8">
        <v>13.57847297919235</v>
      </c>
      <c r="D65" s="25"/>
      <c r="E65" s="23"/>
      <c r="F65" s="17"/>
      <c r="G65" s="17"/>
      <c r="H65" s="15"/>
      <c r="J65" s="33">
        <v>44892</v>
      </c>
      <c r="K65" s="2" t="s">
        <v>33</v>
      </c>
      <c r="L65" s="8">
        <v>9.8480517472838169</v>
      </c>
      <c r="M65" s="16"/>
      <c r="N65" s="23"/>
      <c r="O65" s="24"/>
      <c r="P65" s="17"/>
    </row>
    <row r="66" spans="1:16" ht="15.75" customHeight="1" x14ac:dyDescent="0.3">
      <c r="A66" s="33">
        <v>44893</v>
      </c>
      <c r="B66" s="2" t="s">
        <v>32</v>
      </c>
      <c r="C66" s="8">
        <v>13.884844336696601</v>
      </c>
      <c r="D66" s="25"/>
      <c r="E66" s="23"/>
      <c r="F66" s="17"/>
      <c r="G66" s="17"/>
      <c r="H66" s="15"/>
      <c r="J66" s="33">
        <v>44893</v>
      </c>
      <c r="K66" s="2" t="s">
        <v>33</v>
      </c>
      <c r="L66" s="8">
        <v>9.0381365264000895</v>
      </c>
      <c r="M66" s="16"/>
      <c r="N66" s="23"/>
      <c r="O66" s="24"/>
      <c r="P66" s="17"/>
    </row>
    <row r="67" spans="1:16" ht="15.75" customHeight="1" x14ac:dyDescent="0.3">
      <c r="A67" s="33">
        <v>44894</v>
      </c>
      <c r="B67" s="2" t="s">
        <v>32</v>
      </c>
      <c r="C67" s="8">
        <v>12.439752489154266</v>
      </c>
      <c r="D67" s="25"/>
      <c r="E67" s="23"/>
      <c r="F67" s="17"/>
      <c r="G67" s="17"/>
      <c r="H67" s="15"/>
      <c r="J67" s="33">
        <v>44894</v>
      </c>
      <c r="K67" s="2" t="s">
        <v>33</v>
      </c>
      <c r="L67" s="8">
        <v>9.5882408549345932</v>
      </c>
      <c r="M67" s="16"/>
      <c r="N67" s="23"/>
      <c r="O67" s="24"/>
      <c r="P67" s="17"/>
    </row>
    <row r="68" spans="1:16" ht="15.75" customHeight="1" x14ac:dyDescent="0.3">
      <c r="A68" s="33">
        <v>44895</v>
      </c>
      <c r="B68" s="2" t="s">
        <v>32</v>
      </c>
      <c r="C68" s="8">
        <v>12.902937356628016</v>
      </c>
      <c r="D68" s="25"/>
      <c r="E68" s="23"/>
      <c r="F68" s="17"/>
      <c r="G68" s="17"/>
      <c r="H68" s="15"/>
      <c r="J68" s="33">
        <v>44895</v>
      </c>
      <c r="K68" s="2" t="s">
        <v>33</v>
      </c>
      <c r="L68" s="8">
        <v>9.3249266885023214</v>
      </c>
      <c r="M68" s="16"/>
      <c r="N68" s="23"/>
      <c r="O68" s="24"/>
      <c r="P68" s="17"/>
    </row>
    <row r="69" spans="1:16" ht="15.75" customHeight="1" x14ac:dyDescent="0.3">
      <c r="A69" s="33">
        <v>44896</v>
      </c>
      <c r="B69" s="2" t="s">
        <v>32</v>
      </c>
      <c r="C69" s="8">
        <v>12.7370989135729</v>
      </c>
      <c r="D69" s="25"/>
      <c r="E69" s="23"/>
      <c r="F69" s="17"/>
      <c r="G69" s="17"/>
      <c r="H69" s="15"/>
      <c r="J69" s="33">
        <v>44896</v>
      </c>
      <c r="K69" s="2" t="s">
        <v>33</v>
      </c>
      <c r="L69" s="8">
        <v>9.883979849882305</v>
      </c>
      <c r="M69" s="16"/>
      <c r="N69" s="23"/>
      <c r="O69" s="24"/>
      <c r="P69" s="17"/>
    </row>
    <row r="70" spans="1:16" ht="15.75" customHeight="1" x14ac:dyDescent="0.3">
      <c r="A70" s="33">
        <v>44897</v>
      </c>
      <c r="B70" s="2" t="s">
        <v>32</v>
      </c>
      <c r="C70" s="8">
        <v>13.674052195042599</v>
      </c>
      <c r="D70" s="25"/>
      <c r="E70" s="23"/>
      <c r="F70" s="17"/>
      <c r="G70" s="17"/>
      <c r="H70" s="15"/>
      <c r="J70" s="33">
        <v>44897</v>
      </c>
      <c r="K70" s="2" t="s">
        <v>33</v>
      </c>
      <c r="L70" s="8">
        <v>9.2321855649120099</v>
      </c>
      <c r="M70" s="16"/>
      <c r="N70" s="23"/>
      <c r="O70" s="24"/>
      <c r="P70" s="17"/>
    </row>
    <row r="71" spans="1:16" ht="15.75" customHeight="1" x14ac:dyDescent="0.3">
      <c r="A71" s="33">
        <v>44898</v>
      </c>
      <c r="B71" s="2" t="s">
        <v>32</v>
      </c>
      <c r="C71" s="8">
        <v>12.261778555397688</v>
      </c>
      <c r="D71" s="25"/>
      <c r="E71" s="23"/>
      <c r="F71" s="17"/>
      <c r="G71" s="17"/>
      <c r="H71" s="15"/>
      <c r="J71" s="33">
        <v>44898</v>
      </c>
      <c r="K71" s="2" t="s">
        <v>33</v>
      </c>
      <c r="L71" s="8">
        <v>9.0646529464589243</v>
      </c>
      <c r="M71" s="16"/>
      <c r="N71" s="23"/>
      <c r="O71" s="24"/>
      <c r="P71" s="17"/>
    </row>
    <row r="72" spans="1:16" ht="15.75" customHeight="1" x14ac:dyDescent="0.3">
      <c r="A72" s="33">
        <v>44899</v>
      </c>
      <c r="B72" s="2" t="s">
        <v>32</v>
      </c>
      <c r="C72" s="8">
        <v>12.763587390622433</v>
      </c>
      <c r="D72" s="25"/>
      <c r="E72" s="23"/>
      <c r="F72" s="17"/>
      <c r="G72" s="17"/>
      <c r="H72" s="15"/>
      <c r="J72" s="33">
        <v>44899</v>
      </c>
      <c r="K72" s="2" t="s">
        <v>33</v>
      </c>
      <c r="L72" s="8">
        <v>9.3137024702053655</v>
      </c>
      <c r="M72" s="16"/>
      <c r="N72" s="23"/>
      <c r="O72" s="24"/>
      <c r="P72" s="17"/>
    </row>
    <row r="73" spans="1:16" ht="15.75" customHeight="1" x14ac:dyDescent="0.3">
      <c r="A73" s="33">
        <v>44900</v>
      </c>
      <c r="B73" s="2" t="s">
        <v>32</v>
      </c>
      <c r="C73" s="8">
        <v>12.221028093753521</v>
      </c>
      <c r="D73" s="25"/>
      <c r="E73" s="23"/>
      <c r="F73" s="17"/>
      <c r="G73" s="17"/>
      <c r="H73" s="15"/>
      <c r="J73" s="33">
        <v>44900</v>
      </c>
      <c r="K73" s="2" t="s">
        <v>33</v>
      </c>
      <c r="L73" s="8">
        <v>9.8824196345942639</v>
      </c>
      <c r="M73" s="16"/>
      <c r="N73" s="23"/>
      <c r="O73" s="24"/>
      <c r="P73" s="17"/>
    </row>
    <row r="74" spans="1:16" ht="15.75" customHeight="1" x14ac:dyDescent="0.3">
      <c r="A74" s="33">
        <v>44901</v>
      </c>
      <c r="B74" s="2" t="s">
        <v>32</v>
      </c>
      <c r="C74" s="8">
        <v>13.159065970874565</v>
      </c>
      <c r="D74" s="25"/>
      <c r="E74" s="23"/>
      <c r="F74" s="17"/>
      <c r="G74" s="17"/>
      <c r="H74" s="15"/>
      <c r="J74" s="33">
        <v>44901</v>
      </c>
      <c r="K74" s="2" t="s">
        <v>33</v>
      </c>
      <c r="L74" s="8">
        <v>9.3787629962620986</v>
      </c>
      <c r="M74" s="16"/>
      <c r="N74" s="23"/>
      <c r="O74" s="24"/>
      <c r="P74" s="17"/>
    </row>
    <row r="75" spans="1:16" ht="15.75" customHeight="1" x14ac:dyDescent="0.3">
      <c r="A75" s="33">
        <v>44902</v>
      </c>
      <c r="B75" s="2" t="s">
        <v>32</v>
      </c>
      <c r="C75" s="8">
        <v>13.572774624515265</v>
      </c>
      <c r="D75" s="25"/>
      <c r="E75" s="23"/>
      <c r="F75" s="17"/>
      <c r="G75" s="17"/>
      <c r="H75" s="15"/>
      <c r="J75" s="33">
        <v>44902</v>
      </c>
      <c r="K75" s="2" t="s">
        <v>33</v>
      </c>
      <c r="L75" s="8">
        <v>9.9165950255904622</v>
      </c>
      <c r="M75" s="16"/>
      <c r="N75" s="23"/>
      <c r="O75" s="24"/>
      <c r="P75" s="17"/>
    </row>
    <row r="76" spans="1:16" ht="15.75" customHeight="1" x14ac:dyDescent="0.3">
      <c r="A76" s="33">
        <v>44903</v>
      </c>
      <c r="B76" s="2" t="s">
        <v>32</v>
      </c>
      <c r="C76" s="8">
        <v>13.638805824535206</v>
      </c>
      <c r="D76" s="25"/>
      <c r="E76" s="23"/>
      <c r="F76" s="17"/>
      <c r="G76" s="17"/>
      <c r="H76" s="15"/>
      <c r="J76" s="33">
        <v>44903</v>
      </c>
      <c r="K76" s="2" t="s">
        <v>33</v>
      </c>
      <c r="L76" s="8">
        <v>9.8981996455622969</v>
      </c>
      <c r="M76" s="16"/>
      <c r="N76" s="23"/>
      <c r="O76" s="24"/>
      <c r="P76" s="17"/>
    </row>
    <row r="77" spans="1:16" ht="15.75" customHeight="1" x14ac:dyDescent="0.3">
      <c r="A77" s="33">
        <v>44904</v>
      </c>
      <c r="B77" s="2" t="s">
        <v>32</v>
      </c>
      <c r="C77" s="8">
        <v>13.215404174093081</v>
      </c>
      <c r="D77" s="25"/>
      <c r="E77" s="23"/>
      <c r="F77" s="17"/>
      <c r="G77" s="17"/>
      <c r="H77" s="15"/>
      <c r="J77" s="33">
        <v>44904</v>
      </c>
      <c r="K77" s="2" t="s">
        <v>33</v>
      </c>
      <c r="L77" s="8">
        <v>9.6029473249130071</v>
      </c>
      <c r="M77" s="16"/>
      <c r="N77" s="23"/>
      <c r="O77" s="24"/>
      <c r="P77" s="17"/>
    </row>
    <row r="78" spans="1:16" ht="15.75" customHeight="1" x14ac:dyDescent="0.3">
      <c r="A78" s="33">
        <v>44905</v>
      </c>
      <c r="B78" s="2" t="s">
        <v>32</v>
      </c>
      <c r="C78" s="8">
        <v>12.282520919496797</v>
      </c>
      <c r="D78" s="25"/>
      <c r="E78" s="23"/>
      <c r="F78" s="17"/>
      <c r="G78" s="17"/>
      <c r="H78" s="15"/>
      <c r="J78" s="33">
        <v>44905</v>
      </c>
      <c r="K78" s="2" t="s">
        <v>33</v>
      </c>
      <c r="L78" s="8">
        <v>9.0335946155703226</v>
      </c>
      <c r="M78" s="16"/>
      <c r="N78" s="23"/>
      <c r="O78" s="24"/>
      <c r="P78" s="17"/>
    </row>
    <row r="79" spans="1:16" ht="15.75" customHeight="1" x14ac:dyDescent="0.3">
      <c r="A79" s="33">
        <v>44906</v>
      </c>
      <c r="B79" s="2" t="s">
        <v>32</v>
      </c>
      <c r="C79" s="8">
        <v>12.361694197350957</v>
      </c>
      <c r="D79" s="25"/>
      <c r="E79" s="23"/>
      <c r="F79" s="17"/>
      <c r="G79" s="17"/>
      <c r="H79" s="15"/>
      <c r="J79" s="33">
        <v>44906</v>
      </c>
      <c r="K79" s="2" t="s">
        <v>33</v>
      </c>
      <c r="L79" s="8">
        <v>9.9320710663443581</v>
      </c>
      <c r="M79" s="16"/>
      <c r="N79" s="23"/>
      <c r="O79" s="24"/>
      <c r="P79" s="17"/>
    </row>
    <row r="80" spans="1:16" ht="15.75" customHeight="1" x14ac:dyDescent="0.3">
      <c r="A80" s="33">
        <v>44907</v>
      </c>
      <c r="B80" s="2" t="s">
        <v>32</v>
      </c>
      <c r="C80" s="8">
        <v>12.21637056825125</v>
      </c>
      <c r="D80" s="25"/>
      <c r="E80" s="23"/>
      <c r="F80" s="17"/>
      <c r="G80" s="17"/>
      <c r="H80" s="15"/>
      <c r="J80" s="33">
        <v>44907</v>
      </c>
      <c r="K80" s="2" t="s">
        <v>33</v>
      </c>
      <c r="L80" s="8">
        <v>9.4712917386626572</v>
      </c>
      <c r="M80" s="16"/>
      <c r="N80" s="23"/>
      <c r="O80" s="24"/>
      <c r="P80" s="17"/>
    </row>
    <row r="81" spans="1:16" ht="15.75" customHeight="1" x14ac:dyDescent="0.3">
      <c r="A81" s="33">
        <v>44908</v>
      </c>
      <c r="B81" s="2" t="s">
        <v>32</v>
      </c>
      <c r="C81" s="8">
        <v>12.653175598767874</v>
      </c>
      <c r="D81" s="25"/>
      <c r="E81" s="23"/>
      <c r="F81" s="17"/>
      <c r="G81" s="17"/>
      <c r="H81" s="15"/>
      <c r="J81" s="33">
        <v>44908</v>
      </c>
      <c r="K81" s="2" t="s">
        <v>33</v>
      </c>
      <c r="L81" s="8">
        <v>9.4329425206056232</v>
      </c>
      <c r="M81" s="16"/>
      <c r="N81" s="23"/>
      <c r="O81" s="24"/>
      <c r="P81" s="17"/>
    </row>
    <row r="82" spans="1:16" ht="15.75" customHeight="1" x14ac:dyDescent="0.3">
      <c r="A82" s="33">
        <v>44909</v>
      </c>
      <c r="B82" s="2" t="s">
        <v>32</v>
      </c>
      <c r="C82" s="8">
        <v>12.03962489611637</v>
      </c>
      <c r="D82" s="25"/>
      <c r="E82" s="23"/>
      <c r="F82" s="17"/>
      <c r="G82" s="17"/>
      <c r="H82" s="15"/>
      <c r="J82" s="33">
        <v>44909</v>
      </c>
      <c r="K82" s="2" t="s">
        <v>33</v>
      </c>
      <c r="L82" s="8">
        <v>9.4869732474140296</v>
      </c>
      <c r="M82" s="16"/>
      <c r="N82" s="23"/>
      <c r="O82" s="24"/>
      <c r="P82" s="17"/>
    </row>
    <row r="83" spans="1:16" ht="15.75" customHeight="1" x14ac:dyDescent="0.3">
      <c r="A83" s="33">
        <v>44910</v>
      </c>
      <c r="B83" s="2" t="s">
        <v>32</v>
      </c>
      <c r="C83" s="8">
        <v>12.719847826778611</v>
      </c>
      <c r="D83" s="25"/>
      <c r="E83" s="23"/>
      <c r="F83" s="17"/>
      <c r="G83" s="17"/>
      <c r="H83" s="15"/>
      <c r="J83" s="33">
        <v>44910</v>
      </c>
      <c r="K83" s="2" t="s">
        <v>33</v>
      </c>
      <c r="L83" s="8">
        <v>9.5807032480369561</v>
      </c>
      <c r="M83" s="16"/>
      <c r="N83" s="23"/>
      <c r="O83" s="24"/>
      <c r="P83" s="17"/>
    </row>
    <row r="84" spans="1:16" ht="15.75" customHeight="1" x14ac:dyDescent="0.3">
      <c r="A84" s="33">
        <v>44911</v>
      </c>
      <c r="B84" s="2" t="s">
        <v>32</v>
      </c>
      <c r="C84" s="8">
        <v>12.555690847863048</v>
      </c>
      <c r="D84" s="25"/>
      <c r="E84" s="23"/>
      <c r="F84" s="17"/>
      <c r="G84" s="17"/>
      <c r="H84" s="15"/>
      <c r="J84" s="33">
        <v>44911</v>
      </c>
      <c r="K84" s="2" t="s">
        <v>33</v>
      </c>
      <c r="L84" s="8">
        <v>9.2957267238400938</v>
      </c>
      <c r="M84" s="16"/>
      <c r="N84" s="23"/>
      <c r="O84" s="24"/>
      <c r="P84" s="17"/>
    </row>
    <row r="85" spans="1:16" ht="15.75" customHeight="1" x14ac:dyDescent="0.3">
      <c r="A85" s="33">
        <v>44912</v>
      </c>
      <c r="B85" s="2" t="s">
        <v>32</v>
      </c>
      <c r="C85" s="8">
        <v>12.798229911728599</v>
      </c>
      <c r="D85" s="25"/>
      <c r="E85" s="23"/>
      <c r="F85" s="17"/>
      <c r="G85" s="17"/>
      <c r="H85" s="15"/>
      <c r="J85" s="33">
        <v>44912</v>
      </c>
      <c r="K85" s="2" t="s">
        <v>33</v>
      </c>
      <c r="L85" s="8">
        <v>9.5043379763305182</v>
      </c>
      <c r="M85" s="16"/>
      <c r="N85" s="23"/>
      <c r="O85" s="24"/>
      <c r="P85" s="17"/>
    </row>
    <row r="86" spans="1:16" ht="15.75" customHeight="1" x14ac:dyDescent="0.3">
      <c r="A86" s="33">
        <v>44913</v>
      </c>
      <c r="B86" s="2" t="s">
        <v>32</v>
      </c>
      <c r="C86" s="8">
        <v>13.405256683329736</v>
      </c>
      <c r="D86" s="25"/>
      <c r="E86" s="23"/>
      <c r="F86" s="17"/>
      <c r="G86" s="17"/>
      <c r="H86" s="15"/>
      <c r="J86" s="33">
        <v>44913</v>
      </c>
      <c r="K86" s="2" t="s">
        <v>33</v>
      </c>
      <c r="L86" s="8">
        <v>9.8397754982199928</v>
      </c>
      <c r="M86" s="16"/>
      <c r="N86" s="23"/>
      <c r="O86" s="24"/>
      <c r="P86" s="17"/>
    </row>
    <row r="87" spans="1:16" ht="15.75" customHeight="1" x14ac:dyDescent="0.3">
      <c r="A87" s="33">
        <v>44914</v>
      </c>
      <c r="B87" s="2" t="s">
        <v>32</v>
      </c>
      <c r="C87" s="8">
        <v>12.432327551389331</v>
      </c>
      <c r="D87" s="25"/>
      <c r="E87" s="23"/>
      <c r="F87" s="17"/>
      <c r="G87" s="17"/>
      <c r="H87" s="15"/>
      <c r="J87" s="33">
        <v>44914</v>
      </c>
      <c r="K87" s="2" t="s">
        <v>33</v>
      </c>
      <c r="L87" s="8">
        <v>9.0360399749474709</v>
      </c>
      <c r="M87" s="16"/>
      <c r="N87" s="23"/>
      <c r="O87" s="24"/>
      <c r="P87" s="17"/>
    </row>
    <row r="88" spans="1:16" ht="15.75" customHeight="1" x14ac:dyDescent="0.3">
      <c r="A88" s="33">
        <v>44915</v>
      </c>
      <c r="B88" s="2" t="s">
        <v>32</v>
      </c>
      <c r="C88" s="8">
        <v>13.108530312726989</v>
      </c>
      <c r="D88" s="25"/>
      <c r="E88" s="23"/>
      <c r="F88" s="17"/>
      <c r="G88" s="17"/>
      <c r="H88" s="15"/>
      <c r="J88" s="33">
        <v>44915</v>
      </c>
      <c r="K88" s="2" t="s">
        <v>33</v>
      </c>
      <c r="L88" s="8">
        <v>9.8925050147589975</v>
      </c>
      <c r="M88" s="16"/>
      <c r="N88" s="23"/>
      <c r="O88" s="24"/>
      <c r="P88" s="17"/>
    </row>
    <row r="89" spans="1:16" ht="15.75" customHeight="1" x14ac:dyDescent="0.3">
      <c r="A89" s="33">
        <v>44916</v>
      </c>
      <c r="B89" s="2" t="s">
        <v>32</v>
      </c>
      <c r="C89" s="8">
        <v>12.347625805944805</v>
      </c>
      <c r="D89" s="25"/>
      <c r="E89" s="23"/>
      <c r="F89" s="17"/>
      <c r="G89" s="17"/>
      <c r="H89" s="15"/>
      <c r="J89" s="33">
        <v>44916</v>
      </c>
      <c r="K89" s="2" t="s">
        <v>33</v>
      </c>
      <c r="L89" s="8">
        <v>9.1586334110660452</v>
      </c>
      <c r="M89" s="16"/>
      <c r="N89" s="23"/>
      <c r="O89" s="24"/>
      <c r="P89" s="17"/>
    </row>
    <row r="90" spans="1:16" ht="15.75" customHeight="1" x14ac:dyDescent="0.3">
      <c r="A90" s="33">
        <v>44917</v>
      </c>
      <c r="B90" s="2" t="s">
        <v>32</v>
      </c>
      <c r="C90" s="8">
        <v>12.657985051497592</v>
      </c>
      <c r="D90" s="25"/>
      <c r="E90" s="23"/>
      <c r="F90" s="17"/>
      <c r="G90" s="17"/>
      <c r="H90" s="15"/>
      <c r="J90" s="33">
        <v>44917</v>
      </c>
      <c r="K90" s="2" t="s">
        <v>33</v>
      </c>
      <c r="L90" s="8">
        <v>9.2023471604366982</v>
      </c>
      <c r="M90" s="16"/>
      <c r="N90" s="23"/>
      <c r="O90" s="24"/>
      <c r="P90" s="17"/>
    </row>
    <row r="91" spans="1:16" ht="15.75" customHeight="1" x14ac:dyDescent="0.3">
      <c r="A91" s="33">
        <v>44918</v>
      </c>
      <c r="B91" s="2" t="s">
        <v>32</v>
      </c>
      <c r="C91" s="8">
        <v>12.364316756068902</v>
      </c>
      <c r="D91" s="25"/>
      <c r="E91" s="23"/>
      <c r="F91" s="17"/>
      <c r="G91" s="17"/>
      <c r="H91" s="15"/>
      <c r="J91" s="33">
        <v>44918</v>
      </c>
      <c r="K91" s="2" t="s">
        <v>33</v>
      </c>
      <c r="L91" s="8">
        <v>9.6425173238183834</v>
      </c>
      <c r="M91" s="16"/>
      <c r="N91" s="23"/>
      <c r="O91" s="24"/>
      <c r="P91" s="17"/>
    </row>
    <row r="92" spans="1:16" ht="15.75" customHeight="1" x14ac:dyDescent="0.3">
      <c r="A92" s="33">
        <v>44919</v>
      </c>
      <c r="B92" s="2" t="s">
        <v>32</v>
      </c>
      <c r="C92" s="8">
        <v>13.109948468759601</v>
      </c>
      <c r="D92" s="25"/>
      <c r="E92" s="23"/>
      <c r="F92" s="17"/>
      <c r="G92" s="17"/>
      <c r="H92" s="15"/>
      <c r="J92" s="33">
        <v>44919</v>
      </c>
      <c r="K92" s="2" t="s">
        <v>33</v>
      </c>
      <c r="L92" s="8">
        <v>9.4308644475020689</v>
      </c>
      <c r="M92" s="16"/>
      <c r="N92" s="23"/>
      <c r="O92" s="24"/>
      <c r="P92" s="17"/>
    </row>
    <row r="93" spans="1:16" ht="15.75" customHeight="1" x14ac:dyDescent="0.3">
      <c r="A93" s="33">
        <v>44920</v>
      </c>
      <c r="B93" s="2" t="s">
        <v>32</v>
      </c>
      <c r="C93" s="8">
        <v>13.165533710164929</v>
      </c>
      <c r="D93" s="25"/>
      <c r="E93" s="23"/>
      <c r="F93" s="17"/>
      <c r="G93" s="17"/>
      <c r="H93" s="15"/>
      <c r="J93" s="33">
        <v>44920</v>
      </c>
      <c r="K93" s="2" t="s">
        <v>33</v>
      </c>
      <c r="L93" s="8">
        <v>9.694407499086914</v>
      </c>
      <c r="M93" s="16"/>
      <c r="N93" s="23"/>
      <c r="O93" s="24"/>
      <c r="P93" s="17"/>
    </row>
    <row r="94" spans="1:16" ht="15.75" customHeight="1" x14ac:dyDescent="0.3">
      <c r="A94" s="33">
        <v>44921</v>
      </c>
      <c r="B94" s="2" t="s">
        <v>32</v>
      </c>
      <c r="C94" s="8">
        <v>13.206294922149619</v>
      </c>
      <c r="D94" s="25"/>
      <c r="E94" s="23"/>
      <c r="F94" s="17"/>
      <c r="G94" s="17"/>
      <c r="H94" s="15"/>
      <c r="J94" s="33">
        <v>44921</v>
      </c>
      <c r="K94" s="2" t="s">
        <v>33</v>
      </c>
      <c r="L94" s="8">
        <v>9.751517133006617</v>
      </c>
      <c r="M94" s="16"/>
      <c r="N94" s="23"/>
      <c r="O94" s="24"/>
      <c r="P94" s="17"/>
    </row>
    <row r="95" spans="1:16" ht="15.75" customHeight="1" x14ac:dyDescent="0.3">
      <c r="A95" s="33">
        <v>44922</v>
      </c>
      <c r="B95" s="2" t="s">
        <v>32</v>
      </c>
      <c r="C95" s="8">
        <v>12.228528401518332</v>
      </c>
      <c r="D95" s="25"/>
      <c r="E95" s="23"/>
      <c r="F95" s="17"/>
      <c r="G95" s="17"/>
      <c r="H95" s="15"/>
      <c r="J95" s="33">
        <v>44922</v>
      </c>
      <c r="K95" s="2" t="s">
        <v>33</v>
      </c>
      <c r="L95" s="8">
        <v>9.2950002051813598</v>
      </c>
      <c r="M95" s="16"/>
      <c r="N95" s="23"/>
      <c r="O95" s="24"/>
      <c r="P95" s="17"/>
    </row>
    <row r="96" spans="1:16" ht="15.75" customHeight="1" x14ac:dyDescent="0.3">
      <c r="A96" s="33">
        <v>44923</v>
      </c>
      <c r="B96" s="2" t="s">
        <v>32</v>
      </c>
      <c r="C96" s="8">
        <v>12.676191446003013</v>
      </c>
      <c r="D96" s="25"/>
      <c r="E96" s="23"/>
      <c r="F96" s="17"/>
      <c r="G96" s="17"/>
      <c r="H96" s="15"/>
      <c r="J96" s="33">
        <v>44923</v>
      </c>
      <c r="K96" s="2" t="s">
        <v>33</v>
      </c>
      <c r="L96" s="8">
        <v>9.1427298841991398</v>
      </c>
      <c r="M96" s="16"/>
      <c r="N96" s="23"/>
      <c r="O96" s="24"/>
      <c r="P96" s="17"/>
    </row>
    <row r="97" spans="1:16" ht="15.75" customHeight="1" x14ac:dyDescent="0.3">
      <c r="A97" s="33">
        <v>44924</v>
      </c>
      <c r="B97" s="2" t="s">
        <v>32</v>
      </c>
      <c r="C97" s="8">
        <v>12.036884667751988</v>
      </c>
      <c r="D97" s="25"/>
      <c r="E97" s="23"/>
      <c r="F97" s="17"/>
      <c r="G97" s="17"/>
      <c r="H97" s="15"/>
      <c r="J97" s="33">
        <v>44924</v>
      </c>
      <c r="K97" s="2" t="s">
        <v>33</v>
      </c>
      <c r="L97" s="8">
        <v>9.3130080492828693</v>
      </c>
      <c r="M97" s="16"/>
      <c r="N97" s="23"/>
      <c r="O97" s="24"/>
      <c r="P97" s="17"/>
    </row>
    <row r="98" spans="1:16" ht="15.75" customHeight="1" x14ac:dyDescent="0.3">
      <c r="A98" s="33">
        <v>44925</v>
      </c>
      <c r="B98" s="2" t="s">
        <v>32</v>
      </c>
      <c r="C98" s="8">
        <v>12.938321360662753</v>
      </c>
      <c r="D98" s="25"/>
      <c r="E98" s="23"/>
      <c r="F98" s="17"/>
      <c r="G98" s="17"/>
      <c r="H98" s="15"/>
      <c r="J98" s="33">
        <v>44925</v>
      </c>
      <c r="K98" s="2" t="s">
        <v>33</v>
      </c>
      <c r="L98" s="8">
        <v>9.9327575894223497</v>
      </c>
      <c r="M98" s="16"/>
      <c r="N98" s="23"/>
      <c r="O98" s="24"/>
      <c r="P98" s="17"/>
    </row>
    <row r="99" spans="1:16" ht="15.75" customHeight="1" x14ac:dyDescent="0.3">
      <c r="A99" s="33">
        <v>44926</v>
      </c>
      <c r="B99" s="2" t="s">
        <v>32</v>
      </c>
      <c r="C99" s="8">
        <v>12.501654858947413</v>
      </c>
      <c r="D99" s="25"/>
      <c r="E99" s="23"/>
      <c r="F99" s="17"/>
      <c r="G99" s="17"/>
      <c r="H99" s="15"/>
      <c r="J99" s="33">
        <v>44926</v>
      </c>
      <c r="K99" s="2" t="s">
        <v>33</v>
      </c>
      <c r="L99" s="8">
        <v>9.6333992836879734</v>
      </c>
      <c r="M99" s="16"/>
      <c r="N99" s="23"/>
      <c r="O99" s="24"/>
      <c r="P99" s="17"/>
    </row>
    <row r="100" spans="1:16" ht="15.75" customHeight="1" x14ac:dyDescent="0.3">
      <c r="A100" s="33">
        <v>44927</v>
      </c>
      <c r="B100" s="2" t="s">
        <v>32</v>
      </c>
      <c r="C100" s="8">
        <v>12.018528254818309</v>
      </c>
      <c r="D100" s="25"/>
      <c r="E100" s="23"/>
      <c r="F100" s="17"/>
      <c r="G100" s="17"/>
      <c r="H100" s="15"/>
      <c r="J100" s="33">
        <v>44927</v>
      </c>
      <c r="K100" s="2" t="s">
        <v>33</v>
      </c>
      <c r="L100" s="8">
        <v>9.9143679754380774</v>
      </c>
      <c r="M100" s="16"/>
      <c r="N100" s="23"/>
      <c r="O100" s="24"/>
      <c r="P100" s="17"/>
    </row>
    <row r="101" spans="1:16" ht="15.75" customHeight="1" x14ac:dyDescent="0.3">
      <c r="A101" s="33">
        <v>44928</v>
      </c>
      <c r="B101" s="2" t="s">
        <v>32</v>
      </c>
      <c r="C101" s="8">
        <v>12.416619348662014</v>
      </c>
      <c r="D101" s="25"/>
      <c r="E101" s="23"/>
      <c r="F101" s="17"/>
      <c r="G101" s="17"/>
      <c r="H101" s="15"/>
      <c r="J101" s="33">
        <v>44928</v>
      </c>
      <c r="K101" s="2" t="s">
        <v>33</v>
      </c>
      <c r="L101" s="8">
        <v>9.3157959828176757</v>
      </c>
      <c r="M101" s="16"/>
      <c r="N101" s="23"/>
      <c r="O101" s="24"/>
      <c r="P101" s="17"/>
    </row>
    <row r="102" spans="1:16" ht="15.75" customHeight="1" x14ac:dyDescent="0.3">
      <c r="A102" s="33">
        <v>44929</v>
      </c>
      <c r="B102" s="2" t="s">
        <v>32</v>
      </c>
      <c r="C102" s="8">
        <v>13.8449089029288</v>
      </c>
      <c r="D102" s="25"/>
      <c r="E102" s="23"/>
      <c r="F102" s="17"/>
      <c r="G102" s="17"/>
      <c r="H102" s="15"/>
      <c r="J102" s="33">
        <v>44929</v>
      </c>
      <c r="K102" s="2" t="s">
        <v>33</v>
      </c>
      <c r="L102" s="8">
        <v>9.0525163681345724</v>
      </c>
      <c r="M102" s="16"/>
      <c r="N102" s="23"/>
      <c r="O102" s="24"/>
      <c r="P102" s="17"/>
    </row>
    <row r="103" spans="1:16" ht="15.75" customHeight="1" x14ac:dyDescent="0.3">
      <c r="A103" s="33">
        <v>44930</v>
      </c>
      <c r="B103" s="2" t="s">
        <v>32</v>
      </c>
      <c r="C103" s="8">
        <v>12.751853313412887</v>
      </c>
      <c r="D103" s="25"/>
      <c r="E103" s="23"/>
      <c r="F103" s="17"/>
      <c r="G103" s="17"/>
      <c r="H103" s="15"/>
      <c r="J103" s="33">
        <v>44930</v>
      </c>
      <c r="K103" s="2" t="s">
        <v>33</v>
      </c>
      <c r="L103" s="8">
        <v>9.0456804532099486</v>
      </c>
      <c r="M103" s="16"/>
      <c r="N103" s="23"/>
      <c r="O103" s="24"/>
      <c r="P103" s="17"/>
    </row>
    <row r="104" spans="1:16" ht="15.75" customHeight="1" x14ac:dyDescent="0.3">
      <c r="A104" s="33">
        <v>44931</v>
      </c>
      <c r="B104" s="2" t="s">
        <v>32</v>
      </c>
      <c r="C104" s="8">
        <v>12.066795732224094</v>
      </c>
      <c r="D104" s="25"/>
      <c r="E104" s="23"/>
      <c r="F104" s="17"/>
      <c r="G104" s="17"/>
      <c r="H104" s="15"/>
      <c r="J104" s="33">
        <v>44931</v>
      </c>
      <c r="K104" s="2" t="s">
        <v>33</v>
      </c>
      <c r="L104" s="8">
        <v>9.2441201407091018</v>
      </c>
      <c r="M104" s="16"/>
      <c r="N104" s="23"/>
      <c r="O104" s="24"/>
      <c r="P104" s="17"/>
    </row>
    <row r="105" spans="1:16" ht="15.75" customHeight="1" x14ac:dyDescent="0.3">
      <c r="A105" s="33">
        <v>44932</v>
      </c>
      <c r="B105" s="2" t="s">
        <v>32</v>
      </c>
      <c r="C105" s="8">
        <v>13.050818172640792</v>
      </c>
      <c r="D105" s="25"/>
      <c r="E105" s="23"/>
      <c r="F105" s="17"/>
      <c r="G105" s="17"/>
      <c r="H105" s="15"/>
      <c r="J105" s="33">
        <v>44932</v>
      </c>
      <c r="K105" s="2" t="s">
        <v>33</v>
      </c>
      <c r="L105" s="8">
        <v>9.9002631903074931</v>
      </c>
      <c r="M105" s="16"/>
      <c r="N105" s="23"/>
      <c r="O105" s="24"/>
      <c r="P105" s="17"/>
    </row>
    <row r="106" spans="1:16" ht="15.75" customHeight="1" x14ac:dyDescent="0.3">
      <c r="A106" s="33">
        <v>44933</v>
      </c>
      <c r="B106" s="2" t="s">
        <v>32</v>
      </c>
      <c r="C106" s="8">
        <v>13.206827914779135</v>
      </c>
      <c r="D106" s="25"/>
      <c r="E106" s="23"/>
      <c r="F106" s="17"/>
      <c r="G106" s="17"/>
      <c r="H106" s="15"/>
      <c r="J106" s="33">
        <v>44933</v>
      </c>
      <c r="K106" s="2" t="s">
        <v>33</v>
      </c>
      <c r="L106" s="8">
        <v>9.8700046156618733</v>
      </c>
      <c r="M106" s="16"/>
      <c r="N106" s="23"/>
      <c r="O106" s="24"/>
      <c r="P106" s="17"/>
    </row>
    <row r="107" spans="1:16" ht="15.75" customHeight="1" x14ac:dyDescent="0.3">
      <c r="A107" s="33">
        <v>44934</v>
      </c>
      <c r="B107" s="2" t="s">
        <v>32</v>
      </c>
      <c r="C107" s="8">
        <v>12.445931293335491</v>
      </c>
      <c r="D107" s="25"/>
      <c r="E107" s="23"/>
      <c r="F107" s="17"/>
      <c r="G107" s="17"/>
      <c r="H107" s="15"/>
      <c r="J107" s="33">
        <v>44934</v>
      </c>
      <c r="K107" s="2" t="s">
        <v>33</v>
      </c>
      <c r="L107" s="8">
        <v>9.2196537504230545</v>
      </c>
      <c r="M107" s="16"/>
      <c r="N107" s="23"/>
      <c r="O107" s="24"/>
      <c r="P107" s="17"/>
    </row>
    <row r="108" spans="1:16" ht="15.75" customHeight="1" x14ac:dyDescent="0.3">
      <c r="A108" s="33">
        <v>44935</v>
      </c>
      <c r="B108" s="2" t="s">
        <v>32</v>
      </c>
      <c r="C108" s="8">
        <v>13.493678337618835</v>
      </c>
      <c r="D108" s="25"/>
      <c r="E108" s="23"/>
      <c r="F108" s="17"/>
      <c r="G108" s="17"/>
      <c r="H108" s="15"/>
      <c r="J108" s="33">
        <v>44935</v>
      </c>
      <c r="K108" s="2" t="s">
        <v>33</v>
      </c>
      <c r="L108" s="8">
        <v>9.697470118745219</v>
      </c>
      <c r="M108" s="16"/>
      <c r="N108" s="23"/>
      <c r="O108" s="24"/>
      <c r="P108" s="17"/>
    </row>
    <row r="109" spans="1:16" ht="15.75" customHeight="1" x14ac:dyDescent="0.3">
      <c r="A109" s="33">
        <v>44936</v>
      </c>
      <c r="B109" s="2" t="s">
        <v>32</v>
      </c>
      <c r="C109" s="8">
        <v>12.558885431270221</v>
      </c>
      <c r="D109" s="25"/>
      <c r="E109" s="23"/>
      <c r="F109" s="17"/>
      <c r="G109" s="17"/>
      <c r="H109" s="15"/>
      <c r="J109" s="33">
        <v>44936</v>
      </c>
      <c r="K109" s="2" t="s">
        <v>33</v>
      </c>
      <c r="L109" s="8">
        <v>9.3525404902744533</v>
      </c>
      <c r="M109" s="16"/>
      <c r="N109" s="23"/>
      <c r="O109" s="24"/>
      <c r="P109" s="17"/>
    </row>
    <row r="110" spans="1:16" ht="15.75" customHeight="1" x14ac:dyDescent="0.3">
      <c r="A110" s="33">
        <v>44937</v>
      </c>
      <c r="B110" s="2" t="s">
        <v>32</v>
      </c>
      <c r="C110" s="8">
        <v>12.990496895402693</v>
      </c>
      <c r="D110" s="25"/>
      <c r="E110" s="23"/>
      <c r="F110" s="17"/>
      <c r="G110" s="17"/>
      <c r="H110" s="15"/>
      <c r="J110" s="33">
        <v>44937</v>
      </c>
      <c r="K110" s="2" t="s">
        <v>33</v>
      </c>
      <c r="L110" s="8">
        <v>9.5682312626417225</v>
      </c>
      <c r="M110" s="16"/>
      <c r="N110" s="23"/>
      <c r="O110" s="24"/>
      <c r="P110" s="17"/>
    </row>
    <row r="111" spans="1:16" ht="15.75" customHeight="1" x14ac:dyDescent="0.3">
      <c r="A111" s="33">
        <v>44938</v>
      </c>
      <c r="B111" s="2" t="s">
        <v>32</v>
      </c>
      <c r="C111" s="8">
        <v>13.42403728500898</v>
      </c>
      <c r="D111" s="25"/>
      <c r="E111" s="23"/>
      <c r="F111" s="17"/>
      <c r="G111" s="17"/>
      <c r="H111" s="15"/>
      <c r="J111" s="33">
        <v>44938</v>
      </c>
      <c r="K111" s="2" t="s">
        <v>33</v>
      </c>
      <c r="L111" s="8">
        <v>9.387249133489199</v>
      </c>
      <c r="M111" s="16"/>
      <c r="N111" s="23"/>
      <c r="O111" s="24"/>
      <c r="P111" s="17"/>
    </row>
    <row r="112" spans="1:16" ht="15.75" customHeight="1" x14ac:dyDescent="0.3">
      <c r="A112" s="33">
        <v>44939</v>
      </c>
      <c r="B112" s="2" t="s">
        <v>32</v>
      </c>
      <c r="C112" s="8">
        <v>13.64051837543151</v>
      </c>
      <c r="D112" s="25"/>
      <c r="E112" s="23"/>
      <c r="F112" s="17"/>
      <c r="G112" s="17"/>
      <c r="H112" s="15"/>
      <c r="J112" s="33">
        <v>44939</v>
      </c>
      <c r="K112" s="2" t="s">
        <v>33</v>
      </c>
      <c r="L112" s="8">
        <v>9.8393349690139864</v>
      </c>
      <c r="M112" s="16"/>
      <c r="N112" s="23"/>
      <c r="O112" s="24"/>
      <c r="P112" s="17"/>
    </row>
    <row r="113" spans="1:16" ht="15.75" customHeight="1" x14ac:dyDescent="0.3">
      <c r="A113" s="33">
        <v>44940</v>
      </c>
      <c r="B113" s="2" t="s">
        <v>32</v>
      </c>
      <c r="C113" s="8">
        <v>13.591350508250317</v>
      </c>
      <c r="D113" s="25"/>
      <c r="E113" s="23"/>
      <c r="F113" s="17"/>
      <c r="G113" s="17"/>
      <c r="H113" s="15"/>
      <c r="J113" s="33">
        <v>44940</v>
      </c>
      <c r="K113" s="2" t="s">
        <v>33</v>
      </c>
      <c r="L113" s="8">
        <v>9.0402565317552011</v>
      </c>
      <c r="M113" s="16"/>
      <c r="N113" s="23"/>
      <c r="O113" s="24"/>
      <c r="P113" s="17"/>
    </row>
    <row r="114" spans="1:16" ht="15.75" customHeight="1" x14ac:dyDescent="0.3">
      <c r="A114" s="33">
        <v>44941</v>
      </c>
      <c r="B114" s="2" t="s">
        <v>32</v>
      </c>
      <c r="C114" s="8">
        <v>12.262574085227797</v>
      </c>
      <c r="D114" s="25"/>
      <c r="E114" s="23"/>
      <c r="F114" s="17"/>
      <c r="G114" s="17"/>
      <c r="H114" s="15"/>
      <c r="J114" s="33">
        <v>44941</v>
      </c>
      <c r="K114" s="2" t="s">
        <v>33</v>
      </c>
      <c r="L114" s="8">
        <v>9.6608332452468098</v>
      </c>
      <c r="M114" s="16"/>
      <c r="N114" s="23"/>
      <c r="O114" s="24"/>
      <c r="P114" s="17"/>
    </row>
    <row r="115" spans="1:16" ht="15.75" customHeight="1" x14ac:dyDescent="0.3">
      <c r="A115" s="33">
        <v>44942</v>
      </c>
      <c r="B115" s="2" t="s">
        <v>32</v>
      </c>
      <c r="C115" s="8">
        <v>13.661302642490574</v>
      </c>
      <c r="D115" s="25"/>
      <c r="E115" s="23"/>
      <c r="F115" s="17"/>
      <c r="G115" s="17"/>
      <c r="H115" s="15"/>
      <c r="J115" s="33">
        <v>44942</v>
      </c>
      <c r="K115" s="2" t="s">
        <v>33</v>
      </c>
      <c r="L115" s="8">
        <v>9.4645564923204439</v>
      </c>
      <c r="M115" s="16"/>
      <c r="N115" s="23"/>
      <c r="O115" s="24"/>
      <c r="P115" s="17"/>
    </row>
    <row r="116" spans="1:16" ht="15.75" customHeight="1" x14ac:dyDescent="0.3">
      <c r="A116" s="33">
        <v>44943</v>
      </c>
      <c r="B116" s="2" t="s">
        <v>32</v>
      </c>
      <c r="C116" s="8">
        <v>13.167713736416344</v>
      </c>
      <c r="D116" s="25"/>
      <c r="E116" s="23"/>
      <c r="F116" s="17"/>
      <c r="G116" s="17"/>
      <c r="H116" s="15"/>
      <c r="J116" s="33">
        <v>44943</v>
      </c>
      <c r="K116" s="2" t="s">
        <v>33</v>
      </c>
      <c r="L116" s="8">
        <v>9.3783510658590927</v>
      </c>
      <c r="M116" s="16"/>
      <c r="N116" s="23"/>
      <c r="O116" s="24"/>
      <c r="P116" s="17"/>
    </row>
    <row r="117" spans="1:16" ht="15.75" customHeight="1" x14ac:dyDescent="0.3">
      <c r="A117" s="33">
        <v>44944</v>
      </c>
      <c r="B117" s="2" t="s">
        <v>32</v>
      </c>
      <c r="C117" s="8">
        <v>13.015738973547148</v>
      </c>
      <c r="D117" s="25"/>
      <c r="E117" s="23"/>
      <c r="F117" s="17"/>
      <c r="G117" s="17"/>
      <c r="H117" s="15"/>
      <c r="J117" s="33">
        <v>44944</v>
      </c>
      <c r="K117" s="2" t="s">
        <v>33</v>
      </c>
      <c r="L117" s="8">
        <v>9.3724046403534054</v>
      </c>
      <c r="M117" s="16"/>
      <c r="N117" s="23"/>
      <c r="O117" s="24"/>
      <c r="P117" s="17"/>
    </row>
    <row r="118" spans="1:16" ht="15.75" customHeight="1" x14ac:dyDescent="0.3">
      <c r="A118" s="33">
        <v>44945</v>
      </c>
      <c r="B118" s="2" t="s">
        <v>32</v>
      </c>
      <c r="C118" s="8">
        <v>12.412297835482352</v>
      </c>
      <c r="D118" s="25"/>
      <c r="E118" s="23"/>
      <c r="F118" s="17"/>
      <c r="G118" s="17"/>
      <c r="H118" s="15"/>
      <c r="J118" s="33">
        <v>44945</v>
      </c>
      <c r="K118" s="2" t="s">
        <v>33</v>
      </c>
      <c r="L118" s="8">
        <v>9.9742583913190739</v>
      </c>
      <c r="M118" s="16"/>
      <c r="N118" s="23"/>
      <c r="O118" s="24"/>
      <c r="P118" s="17"/>
    </row>
    <row r="119" spans="1:16" ht="15.75" customHeight="1" x14ac:dyDescent="0.3">
      <c r="A119" s="33">
        <v>44946</v>
      </c>
      <c r="B119" s="2" t="s">
        <v>32</v>
      </c>
      <c r="C119" s="8">
        <v>13.680020720950424</v>
      </c>
      <c r="D119" s="25"/>
      <c r="E119" s="23"/>
      <c r="F119" s="17"/>
      <c r="G119" s="17"/>
      <c r="H119" s="15"/>
      <c r="J119" s="33">
        <v>44946</v>
      </c>
      <c r="K119" s="2" t="s">
        <v>33</v>
      </c>
      <c r="L119" s="8">
        <v>9.0067280093566637</v>
      </c>
      <c r="M119" s="16"/>
      <c r="N119" s="23"/>
      <c r="O119" s="24"/>
      <c r="P119" s="17"/>
    </row>
    <row r="120" spans="1:16" ht="15.75" customHeight="1" x14ac:dyDescent="0.3">
      <c r="A120" s="33">
        <v>44947</v>
      </c>
      <c r="B120" s="2" t="s">
        <v>32</v>
      </c>
      <c r="C120" s="8">
        <v>12.387529207540002</v>
      </c>
      <c r="D120" s="25"/>
      <c r="E120" s="23"/>
      <c r="F120" s="17"/>
      <c r="G120" s="17"/>
      <c r="H120" s="15"/>
      <c r="J120" s="33">
        <v>44947</v>
      </c>
      <c r="K120" s="2" t="s">
        <v>33</v>
      </c>
      <c r="L120" s="8">
        <v>9.9190599096227139</v>
      </c>
      <c r="M120" s="16"/>
      <c r="N120" s="23"/>
      <c r="O120" s="24"/>
      <c r="P120" s="17"/>
    </row>
    <row r="121" spans="1:16" ht="15.75" customHeight="1" x14ac:dyDescent="0.3">
      <c r="A121" s="33">
        <v>44948</v>
      </c>
      <c r="B121" s="2" t="s">
        <v>32</v>
      </c>
      <c r="C121" s="8">
        <v>13.733358865235441</v>
      </c>
      <c r="D121" s="25"/>
      <c r="E121" s="23"/>
      <c r="F121" s="17"/>
      <c r="G121" s="17"/>
      <c r="H121" s="15"/>
      <c r="J121" s="33">
        <v>44948</v>
      </c>
      <c r="K121" s="2" t="s">
        <v>33</v>
      </c>
      <c r="L121" s="8">
        <v>9.8118188267491426</v>
      </c>
      <c r="M121" s="16"/>
      <c r="N121" s="23"/>
      <c r="O121" s="24"/>
      <c r="P121" s="17"/>
    </row>
    <row r="122" spans="1:16" ht="15.75" customHeight="1" x14ac:dyDescent="0.3">
      <c r="A122" s="33">
        <v>44949</v>
      </c>
      <c r="B122" s="2" t="s">
        <v>32</v>
      </c>
      <c r="C122" s="8">
        <v>12.761470884540319</v>
      </c>
      <c r="D122" s="25"/>
      <c r="E122" s="23"/>
      <c r="F122" s="17"/>
      <c r="G122" s="17"/>
      <c r="H122" s="15"/>
      <c r="J122" s="33">
        <v>44949</v>
      </c>
      <c r="K122" s="2" t="s">
        <v>33</v>
      </c>
      <c r="L122" s="8">
        <v>9.8341156483731282</v>
      </c>
      <c r="M122" s="16"/>
      <c r="N122" s="23"/>
      <c r="O122" s="24"/>
      <c r="P122" s="17"/>
    </row>
    <row r="123" spans="1:16" ht="15.75" customHeight="1" x14ac:dyDescent="0.3">
      <c r="A123" s="33">
        <v>44950</v>
      </c>
      <c r="B123" s="2" t="s">
        <v>32</v>
      </c>
      <c r="C123" s="8">
        <v>12.032590981240745</v>
      </c>
      <c r="D123" s="25"/>
      <c r="E123" s="23"/>
      <c r="F123" s="17"/>
      <c r="G123" s="17"/>
      <c r="H123" s="15"/>
      <c r="J123" s="33">
        <v>44950</v>
      </c>
      <c r="K123" s="2" t="s">
        <v>33</v>
      </c>
      <c r="L123" s="8">
        <v>9.2689109603913487</v>
      </c>
      <c r="M123" s="16"/>
      <c r="N123" s="23"/>
      <c r="O123" s="24"/>
      <c r="P123" s="17"/>
    </row>
    <row r="124" spans="1:16" ht="15.75" customHeight="1" x14ac:dyDescent="0.3">
      <c r="A124" s="33">
        <v>44951</v>
      </c>
      <c r="B124" s="2" t="s">
        <v>32</v>
      </c>
      <c r="C124" s="8">
        <v>13.18441098770495</v>
      </c>
      <c r="D124" s="25"/>
      <c r="E124" s="23"/>
      <c r="F124" s="17"/>
      <c r="G124" s="17"/>
      <c r="H124" s="15"/>
      <c r="J124" s="33">
        <v>44951</v>
      </c>
      <c r="K124" s="2" t="s">
        <v>33</v>
      </c>
      <c r="L124" s="8">
        <v>9.2852808006699767</v>
      </c>
      <c r="M124" s="16"/>
      <c r="N124" s="23"/>
      <c r="O124" s="24"/>
      <c r="P124" s="17"/>
    </row>
    <row r="125" spans="1:16" ht="15.75" customHeight="1" x14ac:dyDescent="0.3">
      <c r="A125" s="33">
        <v>44952</v>
      </c>
      <c r="B125" s="2" t="s">
        <v>32</v>
      </c>
      <c r="C125" s="8">
        <v>13.192736376111142</v>
      </c>
      <c r="D125" s="25"/>
      <c r="E125" s="23"/>
      <c r="F125" s="17"/>
      <c r="G125" s="17"/>
      <c r="H125" s="15"/>
      <c r="J125" s="33">
        <v>44952</v>
      </c>
      <c r="K125" s="2" t="s">
        <v>33</v>
      </c>
      <c r="L125" s="8">
        <v>9.1010564830302147</v>
      </c>
      <c r="M125" s="16"/>
      <c r="N125" s="23"/>
      <c r="O125" s="24"/>
      <c r="P125" s="17"/>
    </row>
    <row r="126" spans="1:16" ht="15.75" customHeight="1" x14ac:dyDescent="0.3">
      <c r="A126" s="33">
        <v>44953</v>
      </c>
      <c r="B126" s="2" t="s">
        <v>32</v>
      </c>
      <c r="C126" s="8">
        <v>12.745499024809789</v>
      </c>
      <c r="D126" s="25"/>
      <c r="E126" s="23"/>
      <c r="F126" s="17"/>
      <c r="G126" s="17"/>
      <c r="H126" s="15"/>
      <c r="J126" s="33">
        <v>44953</v>
      </c>
      <c r="K126" s="2" t="s">
        <v>33</v>
      </c>
      <c r="L126" s="8">
        <v>9.980015256523842</v>
      </c>
      <c r="M126" s="16"/>
      <c r="N126" s="23"/>
      <c r="O126" s="24"/>
      <c r="P126" s="17"/>
    </row>
    <row r="127" spans="1:16" ht="15.75" customHeight="1" x14ac:dyDescent="0.3">
      <c r="A127" s="33">
        <v>44954</v>
      </c>
      <c r="B127" s="2" t="s">
        <v>32</v>
      </c>
      <c r="C127" s="8">
        <v>12.644594728333372</v>
      </c>
      <c r="D127" s="25"/>
      <c r="E127" s="23"/>
      <c r="F127" s="17"/>
      <c r="G127" s="17"/>
      <c r="H127" s="15"/>
      <c r="J127" s="33">
        <v>44954</v>
      </c>
      <c r="K127" s="2" t="s">
        <v>33</v>
      </c>
      <c r="L127" s="8">
        <v>9.6926994407315483</v>
      </c>
      <c r="M127" s="16"/>
      <c r="N127" s="23"/>
      <c r="O127" s="24"/>
      <c r="P127" s="17"/>
    </row>
    <row r="128" spans="1:16" ht="15.75" customHeight="1" x14ac:dyDescent="0.3">
      <c r="A128" s="33">
        <v>44955</v>
      </c>
      <c r="B128" s="2" t="s">
        <v>32</v>
      </c>
      <c r="C128" s="8">
        <v>12.1876608161772</v>
      </c>
      <c r="D128" s="25"/>
      <c r="E128" s="23"/>
      <c r="F128" s="17"/>
      <c r="G128" s="17"/>
      <c r="H128" s="15"/>
      <c r="J128" s="33">
        <v>44955</v>
      </c>
      <c r="K128" s="2" t="s">
        <v>33</v>
      </c>
      <c r="L128" s="8">
        <v>9.851590802858194</v>
      </c>
      <c r="M128" s="16"/>
      <c r="N128" s="23"/>
      <c r="O128" s="24"/>
      <c r="P128" s="17"/>
    </row>
    <row r="129" spans="1:16" ht="15.75" customHeight="1" x14ac:dyDescent="0.3">
      <c r="A129" s="33">
        <v>44956</v>
      </c>
      <c r="B129" s="2" t="s">
        <v>32</v>
      </c>
      <c r="C129" s="8">
        <v>13.440826510117416</v>
      </c>
      <c r="D129" s="25"/>
      <c r="E129" s="23"/>
      <c r="F129" s="17"/>
      <c r="G129" s="17"/>
      <c r="H129" s="15"/>
      <c r="J129" s="33">
        <v>44956</v>
      </c>
      <c r="K129" s="2" t="s">
        <v>33</v>
      </c>
      <c r="L129" s="8">
        <v>9.0939300493075521</v>
      </c>
      <c r="M129" s="16"/>
      <c r="N129" s="23"/>
      <c r="O129" s="24"/>
      <c r="P129" s="17"/>
    </row>
    <row r="130" spans="1:16" ht="15.75" customHeight="1" x14ac:dyDescent="0.3">
      <c r="A130" s="33">
        <v>44957</v>
      </c>
      <c r="B130" s="2" t="s">
        <v>32</v>
      </c>
      <c r="C130" s="8">
        <v>12.264910437982152</v>
      </c>
      <c r="D130" s="25"/>
      <c r="E130" s="23"/>
      <c r="F130" s="17"/>
      <c r="G130" s="17"/>
      <c r="H130" s="15"/>
      <c r="J130" s="33">
        <v>44957</v>
      </c>
      <c r="K130" s="2" t="s">
        <v>33</v>
      </c>
      <c r="L130" s="8">
        <v>9.5349790567601875</v>
      </c>
      <c r="M130" s="16"/>
      <c r="N130" s="23"/>
      <c r="O130" s="24"/>
      <c r="P130" s="17"/>
    </row>
    <row r="131" spans="1:16" ht="15.75" customHeight="1" x14ac:dyDescent="0.3">
      <c r="A131" s="33">
        <v>44958</v>
      </c>
      <c r="B131" s="2" t="s">
        <v>32</v>
      </c>
      <c r="C131" s="8">
        <v>12.489011891692208</v>
      </c>
      <c r="D131" s="25"/>
      <c r="E131" s="23"/>
      <c r="F131" s="17"/>
      <c r="G131" s="17"/>
      <c r="H131" s="15"/>
      <c r="J131" s="33">
        <v>44958</v>
      </c>
      <c r="K131" s="2" t="s">
        <v>33</v>
      </c>
      <c r="L131" s="8">
        <v>9.8221639652503736</v>
      </c>
      <c r="M131" s="16"/>
      <c r="N131" s="23"/>
      <c r="O131" s="24"/>
      <c r="P131" s="17"/>
    </row>
    <row r="132" spans="1:16" ht="15.75" customHeight="1" x14ac:dyDescent="0.3">
      <c r="A132" s="33">
        <v>44959</v>
      </c>
      <c r="B132" s="2" t="s">
        <v>32</v>
      </c>
      <c r="C132" s="8">
        <v>12.433590857134076</v>
      </c>
      <c r="D132" s="25"/>
      <c r="E132" s="23"/>
      <c r="F132" s="17"/>
      <c r="G132" s="17"/>
      <c r="H132" s="15"/>
      <c r="J132" s="33">
        <v>44959</v>
      </c>
      <c r="K132" s="2" t="s">
        <v>33</v>
      </c>
      <c r="L132" s="8">
        <v>9.6997148764832168</v>
      </c>
      <c r="M132" s="16"/>
      <c r="N132" s="23"/>
      <c r="O132" s="24"/>
      <c r="P132" s="17"/>
    </row>
    <row r="133" spans="1:16" ht="15.75" customHeight="1" x14ac:dyDescent="0.3">
      <c r="A133" s="33">
        <v>44960</v>
      </c>
      <c r="B133" s="2" t="s">
        <v>32</v>
      </c>
      <c r="C133" s="8">
        <v>13.641014877469146</v>
      </c>
      <c r="D133" s="25"/>
      <c r="E133" s="23"/>
      <c r="F133" s="17"/>
      <c r="G133" s="17"/>
      <c r="H133" s="15"/>
      <c r="J133" s="33">
        <v>44960</v>
      </c>
      <c r="K133" s="2" t="s">
        <v>33</v>
      </c>
      <c r="L133" s="8">
        <v>9.9726254505987093</v>
      </c>
      <c r="M133" s="16"/>
      <c r="N133" s="23"/>
      <c r="O133" s="24"/>
      <c r="P133" s="17"/>
    </row>
    <row r="134" spans="1:16" ht="15.75" customHeight="1" x14ac:dyDescent="0.3">
      <c r="A134" s="33">
        <v>44961</v>
      </c>
      <c r="B134" s="2" t="s">
        <v>32</v>
      </c>
      <c r="C134" s="8">
        <v>12.035297838512498</v>
      </c>
      <c r="D134" s="25"/>
      <c r="E134" s="23"/>
      <c r="F134" s="17"/>
      <c r="G134" s="17"/>
      <c r="H134" s="15"/>
      <c r="J134" s="33">
        <v>44961</v>
      </c>
      <c r="K134" s="2" t="s">
        <v>33</v>
      </c>
      <c r="L134" s="8">
        <v>9.5635091784816861</v>
      </c>
      <c r="M134" s="16"/>
      <c r="N134" s="23"/>
      <c r="O134" s="24"/>
      <c r="P134" s="17"/>
    </row>
    <row r="135" spans="1:16" ht="15.75" customHeight="1" x14ac:dyDescent="0.3">
      <c r="A135" s="33">
        <v>44962</v>
      </c>
      <c r="B135" s="2" t="s">
        <v>32</v>
      </c>
      <c r="C135" s="8">
        <v>13.05672702338612</v>
      </c>
      <c r="D135" s="25"/>
      <c r="E135" s="23"/>
      <c r="F135" s="17"/>
      <c r="G135" s="17"/>
      <c r="H135" s="15"/>
      <c r="J135" s="33">
        <v>44962</v>
      </c>
      <c r="K135" s="2" t="s">
        <v>33</v>
      </c>
      <c r="L135" s="8">
        <v>9.9943381385616306</v>
      </c>
      <c r="M135" s="16"/>
      <c r="N135" s="23"/>
      <c r="O135" s="24"/>
      <c r="P135" s="17"/>
    </row>
    <row r="136" spans="1:16" ht="15.75" customHeight="1" x14ac:dyDescent="0.3">
      <c r="A136" s="33">
        <v>44963</v>
      </c>
      <c r="B136" s="2" t="s">
        <v>32</v>
      </c>
      <c r="C136" s="8">
        <v>12.139046852903407</v>
      </c>
      <c r="D136" s="25"/>
      <c r="E136" s="23"/>
      <c r="F136" s="17"/>
      <c r="G136" s="17"/>
      <c r="H136" s="15"/>
      <c r="J136" s="33">
        <v>44963</v>
      </c>
      <c r="K136" s="2" t="s">
        <v>33</v>
      </c>
      <c r="L136" s="8">
        <v>9.7027619132966869</v>
      </c>
      <c r="M136" s="16"/>
      <c r="N136" s="23"/>
      <c r="O136" s="24"/>
      <c r="P136" s="17"/>
    </row>
    <row r="137" spans="1:16" ht="15.75" customHeight="1" x14ac:dyDescent="0.3">
      <c r="A137" s="33">
        <v>44964</v>
      </c>
      <c r="B137" s="2" t="s">
        <v>32</v>
      </c>
      <c r="C137" s="8">
        <v>12.387317551145379</v>
      </c>
      <c r="D137" s="25"/>
      <c r="E137" s="23"/>
      <c r="F137" s="17"/>
      <c r="G137" s="17"/>
      <c r="H137" s="15"/>
      <c r="J137" s="33">
        <v>44964</v>
      </c>
      <c r="K137" s="2" t="s">
        <v>33</v>
      </c>
      <c r="L137" s="8">
        <v>9.1742903239279343</v>
      </c>
      <c r="M137" s="16"/>
      <c r="N137" s="23"/>
      <c r="O137" s="24"/>
      <c r="P137" s="17"/>
    </row>
    <row r="138" spans="1:16" ht="15.75" customHeight="1" x14ac:dyDescent="0.3">
      <c r="A138" s="33">
        <v>44965</v>
      </c>
      <c r="B138" s="2" t="s">
        <v>32</v>
      </c>
      <c r="C138" s="8">
        <v>12.804640481959757</v>
      </c>
      <c r="D138" s="25"/>
      <c r="E138" s="23"/>
      <c r="F138" s="17"/>
      <c r="G138" s="17"/>
      <c r="H138" s="15"/>
      <c r="J138" s="33">
        <v>44965</v>
      </c>
      <c r="K138" s="2" t="s">
        <v>33</v>
      </c>
      <c r="L138" s="8">
        <v>9.3666609310618973</v>
      </c>
      <c r="M138" s="16"/>
      <c r="N138" s="23"/>
      <c r="O138" s="24"/>
      <c r="P138" s="17"/>
    </row>
    <row r="139" spans="1:16" ht="15.75" customHeight="1" x14ac:dyDescent="0.3">
      <c r="A139" s="33">
        <v>44966</v>
      </c>
      <c r="B139" s="2" t="s">
        <v>32</v>
      </c>
      <c r="C139" s="8">
        <v>13.395114185330723</v>
      </c>
      <c r="D139" s="25"/>
      <c r="E139" s="23"/>
      <c r="F139" s="17"/>
      <c r="G139" s="17"/>
      <c r="H139" s="15"/>
      <c r="J139" s="33">
        <v>44966</v>
      </c>
      <c r="K139" s="2" t="s">
        <v>33</v>
      </c>
      <c r="L139" s="8">
        <v>9.1461115342093038</v>
      </c>
      <c r="M139" s="16"/>
      <c r="N139" s="23"/>
      <c r="O139" s="24"/>
      <c r="P139" s="17"/>
    </row>
    <row r="140" spans="1:16" ht="15.75" customHeight="1" x14ac:dyDescent="0.3">
      <c r="A140" s="33">
        <v>44967</v>
      </c>
      <c r="B140" s="2" t="s">
        <v>32</v>
      </c>
      <c r="C140" s="8">
        <v>12.40545234821861</v>
      </c>
      <c r="D140" s="25"/>
      <c r="E140" s="23"/>
      <c r="F140" s="17"/>
      <c r="G140" s="17"/>
      <c r="H140" s="15"/>
      <c r="J140" s="33">
        <v>44967</v>
      </c>
      <c r="K140" s="2" t="s">
        <v>33</v>
      </c>
      <c r="L140" s="8">
        <v>9.8326253001932358</v>
      </c>
      <c r="M140" s="16"/>
      <c r="N140" s="23"/>
      <c r="O140" s="24"/>
      <c r="P140" s="17"/>
    </row>
    <row r="141" spans="1:16" ht="15.75" customHeight="1" x14ac:dyDescent="0.3">
      <c r="A141" s="33">
        <v>44968</v>
      </c>
      <c r="B141" s="2" t="s">
        <v>32</v>
      </c>
      <c r="C141" s="8">
        <v>13.857076006483904</v>
      </c>
      <c r="D141" s="25"/>
      <c r="E141" s="23"/>
      <c r="F141" s="17"/>
      <c r="G141" s="17"/>
      <c r="H141" s="15"/>
      <c r="J141" s="33">
        <v>44968</v>
      </c>
      <c r="K141" s="2" t="s">
        <v>33</v>
      </c>
      <c r="L141" s="8">
        <v>9.051170305823538</v>
      </c>
      <c r="M141" s="16"/>
      <c r="N141" s="23"/>
      <c r="O141" s="24"/>
      <c r="P141" s="17"/>
    </row>
    <row r="142" spans="1:16" ht="15.75" customHeight="1" x14ac:dyDescent="0.3">
      <c r="A142" s="33">
        <v>44969</v>
      </c>
      <c r="B142" s="2" t="s">
        <v>32</v>
      </c>
      <c r="C142" s="8">
        <v>12.16047980809452</v>
      </c>
      <c r="D142" s="25"/>
      <c r="E142" s="23"/>
      <c r="F142" s="17"/>
      <c r="G142" s="17"/>
      <c r="H142" s="15"/>
      <c r="J142" s="33">
        <v>44969</v>
      </c>
      <c r="K142" s="2" t="s">
        <v>33</v>
      </c>
      <c r="L142" s="8">
        <v>9.6829738307829984</v>
      </c>
      <c r="M142" s="16"/>
      <c r="N142" s="23"/>
      <c r="O142" s="24"/>
      <c r="P142" s="17"/>
    </row>
    <row r="143" spans="1:16" ht="15.75" customHeight="1" x14ac:dyDescent="0.3">
      <c r="A143" s="33">
        <v>44970</v>
      </c>
      <c r="B143" s="2" t="s">
        <v>32</v>
      </c>
      <c r="C143" s="8">
        <v>12.105631223009432</v>
      </c>
      <c r="D143" s="25"/>
      <c r="E143" s="23"/>
      <c r="F143" s="17"/>
      <c r="G143" s="17"/>
      <c r="H143" s="15"/>
      <c r="J143" s="33">
        <v>44970</v>
      </c>
      <c r="K143" s="2" t="s">
        <v>33</v>
      </c>
      <c r="L143" s="8">
        <v>9.7327991091402719</v>
      </c>
      <c r="M143" s="16"/>
      <c r="N143" s="23"/>
      <c r="O143" s="24"/>
      <c r="P143" s="17"/>
    </row>
    <row r="144" spans="1:16" ht="15.75" customHeight="1" x14ac:dyDescent="0.3">
      <c r="A144" s="33">
        <v>44971</v>
      </c>
      <c r="B144" s="2" t="s">
        <v>32</v>
      </c>
      <c r="C144" s="8">
        <v>12.682292249861721</v>
      </c>
      <c r="D144" s="25"/>
      <c r="E144" s="23"/>
      <c r="F144" s="17"/>
      <c r="G144" s="17"/>
      <c r="H144" s="15"/>
      <c r="J144" s="33">
        <v>44971</v>
      </c>
      <c r="K144" s="2" t="s">
        <v>33</v>
      </c>
      <c r="L144" s="8">
        <v>9.0844996183193363</v>
      </c>
      <c r="M144" s="16"/>
      <c r="N144" s="23"/>
      <c r="O144" s="24"/>
      <c r="P144" s="17"/>
    </row>
    <row r="145" spans="1:16" ht="15.75" customHeight="1" x14ac:dyDescent="0.3">
      <c r="A145" s="33">
        <v>44972</v>
      </c>
      <c r="B145" s="2" t="s">
        <v>32</v>
      </c>
      <c r="C145" s="8">
        <v>12.869835338491686</v>
      </c>
      <c r="D145" s="25"/>
      <c r="E145" s="23"/>
      <c r="F145" s="17"/>
      <c r="G145" s="17"/>
      <c r="H145" s="15"/>
      <c r="J145" s="33">
        <v>44972</v>
      </c>
      <c r="K145" s="2" t="s">
        <v>33</v>
      </c>
      <c r="L145" s="8">
        <v>9.1448173630274034</v>
      </c>
      <c r="M145" s="16"/>
      <c r="N145" s="23"/>
      <c r="O145" s="24"/>
      <c r="P145" s="17"/>
    </row>
    <row r="146" spans="1:16" ht="15.75" customHeight="1" x14ac:dyDescent="0.3">
      <c r="A146" s="33">
        <v>44973</v>
      </c>
      <c r="B146" s="2" t="s">
        <v>32</v>
      </c>
      <c r="C146" s="8">
        <v>12.315436855960547</v>
      </c>
      <c r="D146" s="25"/>
      <c r="E146" s="23"/>
      <c r="F146" s="17"/>
      <c r="G146" s="17"/>
      <c r="H146" s="15"/>
      <c r="J146" s="33">
        <v>44973</v>
      </c>
      <c r="K146" s="2" t="s">
        <v>33</v>
      </c>
      <c r="L146" s="8">
        <v>9.3908721943085549</v>
      </c>
      <c r="M146" s="16"/>
      <c r="N146" s="23"/>
      <c r="O146" s="24"/>
      <c r="P146" s="17"/>
    </row>
    <row r="147" spans="1:16" ht="15.75" customHeight="1" x14ac:dyDescent="0.3">
      <c r="A147" s="33">
        <v>44974</v>
      </c>
      <c r="B147" s="2" t="s">
        <v>32</v>
      </c>
      <c r="C147" s="8">
        <v>12.622993870748918</v>
      </c>
      <c r="D147" s="25"/>
      <c r="E147" s="23"/>
      <c r="F147" s="17"/>
      <c r="G147" s="17"/>
      <c r="H147" s="15"/>
      <c r="J147" s="33">
        <v>44974</v>
      </c>
      <c r="K147" s="2" t="s">
        <v>33</v>
      </c>
      <c r="L147" s="8">
        <v>9.0632265143521753</v>
      </c>
      <c r="M147" s="16"/>
      <c r="N147" s="23"/>
      <c r="O147" s="24"/>
      <c r="P147" s="17"/>
    </row>
    <row r="148" spans="1:16" ht="15.75" customHeight="1" x14ac:dyDescent="0.3">
      <c r="A148" s="33">
        <v>44975</v>
      </c>
      <c r="B148" s="2" t="s">
        <v>32</v>
      </c>
      <c r="C148" s="8">
        <v>13.641219978036663</v>
      </c>
      <c r="D148" s="25"/>
      <c r="E148" s="23"/>
      <c r="F148" s="17"/>
      <c r="G148" s="17"/>
      <c r="H148" s="15"/>
      <c r="J148" s="33">
        <v>44975</v>
      </c>
      <c r="K148" s="2" t="s">
        <v>33</v>
      </c>
      <c r="L148" s="8">
        <v>9.4173473161903338</v>
      </c>
      <c r="M148" s="16"/>
      <c r="N148" s="23"/>
      <c r="O148" s="24"/>
      <c r="P148" s="17"/>
    </row>
    <row r="149" spans="1:16" ht="15.75" customHeight="1" x14ac:dyDescent="0.3">
      <c r="A149" s="33">
        <v>44976</v>
      </c>
      <c r="B149" s="2" t="s">
        <v>32</v>
      </c>
      <c r="C149" s="8">
        <v>13.257984410040178</v>
      </c>
      <c r="D149" s="25"/>
      <c r="E149" s="23"/>
      <c r="F149" s="17"/>
      <c r="G149" s="17"/>
      <c r="H149" s="15"/>
      <c r="J149" s="33">
        <v>44976</v>
      </c>
      <c r="K149" s="2" t="s">
        <v>33</v>
      </c>
      <c r="L149" s="8">
        <v>9.9675887298428112</v>
      </c>
      <c r="M149" s="16"/>
      <c r="N149" s="23"/>
      <c r="O149" s="24"/>
      <c r="P149" s="17"/>
    </row>
    <row r="150" spans="1:16" ht="15.75" customHeight="1" x14ac:dyDescent="0.3">
      <c r="A150" s="33">
        <v>44977</v>
      </c>
      <c r="B150" s="2" t="s">
        <v>32</v>
      </c>
      <c r="C150" s="8">
        <v>13.738076228712258</v>
      </c>
      <c r="D150" s="25"/>
      <c r="E150" s="23"/>
      <c r="F150" s="17"/>
      <c r="G150" s="17"/>
      <c r="H150" s="15"/>
      <c r="J150" s="33">
        <v>44977</v>
      </c>
      <c r="K150" s="2" t="s">
        <v>33</v>
      </c>
      <c r="L150" s="8">
        <v>9.1411547107126339</v>
      </c>
      <c r="M150" s="16"/>
      <c r="N150" s="23"/>
      <c r="O150" s="24"/>
      <c r="P150" s="17"/>
    </row>
    <row r="151" spans="1:16" ht="15.75" customHeight="1" x14ac:dyDescent="0.3">
      <c r="A151" s="33">
        <v>44978</v>
      </c>
      <c r="B151" s="2" t="s">
        <v>32</v>
      </c>
      <c r="C151" s="8">
        <v>12.342641348878908</v>
      </c>
      <c r="D151" s="25"/>
      <c r="E151" s="23"/>
      <c r="F151" s="17"/>
      <c r="G151" s="17"/>
      <c r="H151" s="15"/>
      <c r="J151" s="33">
        <v>44978</v>
      </c>
      <c r="K151" s="2" t="s">
        <v>33</v>
      </c>
      <c r="L151" s="8">
        <v>9.3219925959734926</v>
      </c>
      <c r="M151" s="16"/>
      <c r="N151" s="23"/>
      <c r="O151" s="24"/>
      <c r="P151" s="17"/>
    </row>
    <row r="152" spans="1:16" ht="15.75" customHeight="1" x14ac:dyDescent="0.3">
      <c r="A152" s="33">
        <v>44979</v>
      </c>
      <c r="B152" s="2" t="s">
        <v>32</v>
      </c>
      <c r="C152" s="8">
        <v>13.746738123440391</v>
      </c>
      <c r="D152" s="25"/>
      <c r="E152" s="23"/>
      <c r="F152" s="17"/>
      <c r="G152" s="17"/>
      <c r="H152" s="15"/>
      <c r="J152" s="33">
        <v>44979</v>
      </c>
      <c r="K152" s="2" t="s">
        <v>33</v>
      </c>
      <c r="L152" s="8">
        <v>9.0202828246867917</v>
      </c>
      <c r="M152" s="16"/>
      <c r="N152" s="23"/>
      <c r="O152" s="24"/>
      <c r="P152" s="17"/>
    </row>
    <row r="153" spans="1:16" ht="15.75" customHeight="1" x14ac:dyDescent="0.3">
      <c r="A153" s="33">
        <v>44980</v>
      </c>
      <c r="B153" s="2" t="s">
        <v>32</v>
      </c>
      <c r="C153" s="8">
        <v>13.605127073403244</v>
      </c>
      <c r="D153" s="25"/>
      <c r="E153" s="23"/>
      <c r="F153" s="17"/>
      <c r="G153" s="17"/>
      <c r="H153" s="15"/>
      <c r="J153" s="33">
        <v>44980</v>
      </c>
      <c r="K153" s="2" t="s">
        <v>33</v>
      </c>
      <c r="L153" s="8">
        <v>9.3536012059493245</v>
      </c>
      <c r="M153" s="16"/>
      <c r="N153" s="23"/>
      <c r="O153" s="24"/>
      <c r="P153" s="17"/>
    </row>
    <row r="154" spans="1:16" ht="15.75" customHeight="1" x14ac:dyDescent="0.3">
      <c r="A154" s="33">
        <v>44981</v>
      </c>
      <c r="B154" s="2" t="s">
        <v>32</v>
      </c>
      <c r="C154" s="8">
        <v>13.787136515150394</v>
      </c>
      <c r="D154" s="25"/>
      <c r="E154" s="23"/>
      <c r="F154" s="17"/>
      <c r="G154" s="17"/>
      <c r="H154" s="15"/>
      <c r="J154" s="33">
        <v>44981</v>
      </c>
      <c r="K154" s="2" t="s">
        <v>33</v>
      </c>
      <c r="L154" s="8">
        <v>9.587450225212752</v>
      </c>
      <c r="M154" s="16"/>
      <c r="N154" s="23"/>
      <c r="O154" s="24"/>
      <c r="P154" s="17"/>
    </row>
    <row r="155" spans="1:16" ht="15.75" customHeight="1" x14ac:dyDescent="0.3">
      <c r="A155" s="33">
        <v>44982</v>
      </c>
      <c r="B155" s="2" t="s">
        <v>32</v>
      </c>
      <c r="C155" s="8">
        <v>13.719845301112246</v>
      </c>
      <c r="D155" s="25"/>
      <c r="E155" s="23"/>
      <c r="F155" s="17"/>
      <c r="G155" s="17"/>
      <c r="H155" s="15"/>
      <c r="J155" s="33">
        <v>44982</v>
      </c>
      <c r="K155" s="2" t="s">
        <v>33</v>
      </c>
      <c r="L155" s="8">
        <v>9.1716388503435926</v>
      </c>
      <c r="M155" s="16"/>
      <c r="N155" s="23"/>
      <c r="O155" s="24"/>
      <c r="P155" s="17"/>
    </row>
    <row r="156" spans="1:16" ht="15.75" customHeight="1" x14ac:dyDescent="0.3">
      <c r="A156" s="33">
        <v>44983</v>
      </c>
      <c r="B156" s="2" t="s">
        <v>32</v>
      </c>
      <c r="C156" s="8">
        <v>12.256667161826799</v>
      </c>
      <c r="D156" s="25"/>
      <c r="E156" s="23"/>
      <c r="F156" s="17"/>
      <c r="G156" s="17"/>
      <c r="H156" s="15"/>
      <c r="J156" s="33">
        <v>44983</v>
      </c>
      <c r="K156" s="2" t="s">
        <v>33</v>
      </c>
      <c r="L156" s="8">
        <v>9.0322236581051722</v>
      </c>
      <c r="M156" s="16"/>
      <c r="N156" s="23"/>
      <c r="O156" s="24"/>
      <c r="P156" s="17"/>
    </row>
    <row r="157" spans="1:16" ht="15.75" customHeight="1" x14ac:dyDescent="0.3">
      <c r="A157" s="33">
        <v>44984</v>
      </c>
      <c r="B157" s="2" t="s">
        <v>32</v>
      </c>
      <c r="C157" s="8">
        <v>12.371044276629625</v>
      </c>
      <c r="D157" s="25"/>
      <c r="E157" s="23"/>
      <c r="F157" s="17"/>
      <c r="G157" s="17"/>
      <c r="H157" s="15"/>
      <c r="J157" s="33">
        <v>44984</v>
      </c>
      <c r="K157" s="2" t="s">
        <v>33</v>
      </c>
      <c r="L157" s="8">
        <v>9.7665001202538519</v>
      </c>
      <c r="M157" s="16"/>
      <c r="N157" s="23"/>
      <c r="O157" s="24"/>
      <c r="P157" s="17"/>
    </row>
    <row r="158" spans="1:16" ht="15.75" customHeight="1" x14ac:dyDescent="0.3">
      <c r="A158" s="33">
        <v>44985</v>
      </c>
      <c r="B158" s="2" t="s">
        <v>32</v>
      </c>
      <c r="C158" s="8">
        <v>12.610662927615465</v>
      </c>
      <c r="D158" s="25"/>
      <c r="E158" s="23"/>
      <c r="F158" s="17"/>
      <c r="G158" s="17"/>
      <c r="H158" s="15"/>
      <c r="J158" s="33">
        <v>44985</v>
      </c>
      <c r="K158" s="2" t="s">
        <v>33</v>
      </c>
      <c r="L158" s="8">
        <v>9.5280247781731635</v>
      </c>
      <c r="M158" s="16"/>
      <c r="N158" s="23"/>
      <c r="O158" s="24"/>
      <c r="P158" s="17"/>
    </row>
    <row r="159" spans="1:16" ht="15.75" customHeight="1" x14ac:dyDescent="0.3">
      <c r="A159" s="33">
        <v>44986</v>
      </c>
      <c r="B159" s="2" t="s">
        <v>32</v>
      </c>
      <c r="C159" s="8">
        <v>12.332954988586916</v>
      </c>
      <c r="D159" s="25"/>
      <c r="E159" s="23"/>
      <c r="F159" s="17"/>
      <c r="G159" s="17"/>
      <c r="H159" s="15"/>
      <c r="J159" s="33">
        <v>44986</v>
      </c>
      <c r="K159" s="2" t="s">
        <v>33</v>
      </c>
      <c r="L159" s="8">
        <v>9.1057776501662424</v>
      </c>
      <c r="M159" s="16"/>
      <c r="N159" s="23"/>
      <c r="O159" s="24"/>
      <c r="P159" s="17"/>
    </row>
    <row r="160" spans="1:16" ht="15.75" customHeight="1" x14ac:dyDescent="0.3">
      <c r="A160" s="33">
        <v>44987</v>
      </c>
      <c r="B160" s="2" t="s">
        <v>32</v>
      </c>
      <c r="C160" s="8">
        <v>13.645384270189087</v>
      </c>
      <c r="D160" s="25"/>
      <c r="E160" s="23"/>
      <c r="F160" s="17"/>
      <c r="G160" s="17"/>
      <c r="H160" s="15"/>
      <c r="J160" s="33">
        <v>44987</v>
      </c>
      <c r="K160" s="2" t="s">
        <v>33</v>
      </c>
      <c r="L160" s="8">
        <v>9.5657912956741864</v>
      </c>
      <c r="M160" s="16"/>
      <c r="N160" s="23"/>
      <c r="O160" s="24"/>
      <c r="P160" s="17"/>
    </row>
    <row r="161" spans="1:16" ht="15.75" customHeight="1" x14ac:dyDescent="0.3">
      <c r="A161" s="33">
        <v>44988</v>
      </c>
      <c r="B161" s="2" t="s">
        <v>32</v>
      </c>
      <c r="C161" s="8">
        <v>12.697497536207251</v>
      </c>
      <c r="D161" s="25"/>
      <c r="E161" s="23"/>
      <c r="F161" s="17"/>
      <c r="G161" s="17"/>
      <c r="H161" s="15"/>
      <c r="J161" s="33">
        <v>44988</v>
      </c>
      <c r="K161" s="2" t="s">
        <v>33</v>
      </c>
      <c r="L161" s="8">
        <v>9.4328479212390342</v>
      </c>
      <c r="M161" s="16"/>
      <c r="N161" s="23"/>
      <c r="O161" s="24"/>
      <c r="P161" s="17"/>
    </row>
    <row r="162" spans="1:16" ht="15.75" customHeight="1" x14ac:dyDescent="0.3">
      <c r="A162" s="33">
        <v>44989</v>
      </c>
      <c r="B162" s="2" t="s">
        <v>32</v>
      </c>
      <c r="C162" s="8">
        <v>12.487593061762272</v>
      </c>
      <c r="D162" s="25"/>
      <c r="E162" s="23"/>
      <c r="F162" s="17"/>
      <c r="G162" s="17"/>
      <c r="H162" s="15"/>
      <c r="J162" s="33">
        <v>44989</v>
      </c>
      <c r="K162" s="2" t="s">
        <v>33</v>
      </c>
      <c r="L162" s="8">
        <v>9.3240825340376841</v>
      </c>
      <c r="M162" s="16"/>
      <c r="N162" s="23"/>
      <c r="O162" s="24"/>
      <c r="P162" s="17"/>
    </row>
    <row r="163" spans="1:16" ht="15.75" customHeight="1" x14ac:dyDescent="0.3">
      <c r="A163" s="33">
        <v>44990</v>
      </c>
      <c r="B163" s="2" t="s">
        <v>32</v>
      </c>
      <c r="C163" s="8">
        <v>13.084911668066518</v>
      </c>
      <c r="D163" s="25"/>
      <c r="E163" s="23"/>
      <c r="F163" s="17"/>
      <c r="G163" s="17"/>
      <c r="H163" s="15"/>
      <c r="J163" s="33">
        <v>44990</v>
      </c>
      <c r="K163" s="2" t="s">
        <v>33</v>
      </c>
      <c r="L163" s="8">
        <v>9.658800050592772</v>
      </c>
      <c r="M163" s="16"/>
      <c r="N163" s="23"/>
      <c r="O163" s="24"/>
      <c r="P163" s="17"/>
    </row>
    <row r="164" spans="1:16" ht="15.75" customHeight="1" x14ac:dyDescent="0.3">
      <c r="A164" s="33">
        <v>44991</v>
      </c>
      <c r="B164" s="2" t="s">
        <v>32</v>
      </c>
      <c r="C164" s="8">
        <v>12.51507790019596</v>
      </c>
      <c r="D164" s="25"/>
      <c r="E164" s="23"/>
      <c r="F164" s="17"/>
      <c r="G164" s="17"/>
      <c r="H164" s="15"/>
      <c r="J164" s="33">
        <v>44991</v>
      </c>
      <c r="K164" s="2" t="s">
        <v>33</v>
      </c>
      <c r="L164" s="8">
        <v>9.5163273931862413</v>
      </c>
      <c r="M164" s="16"/>
      <c r="N164" s="23"/>
      <c r="O164" s="24"/>
      <c r="P164" s="17"/>
    </row>
    <row r="165" spans="1:16" ht="15.75" customHeight="1" x14ac:dyDescent="0.3">
      <c r="A165" s="33">
        <v>44992</v>
      </c>
      <c r="B165" s="2" t="s">
        <v>32</v>
      </c>
      <c r="C165" s="8">
        <v>13.777015345605957</v>
      </c>
      <c r="D165" s="25"/>
      <c r="E165" s="23"/>
      <c r="F165" s="17"/>
      <c r="G165" s="17"/>
      <c r="H165" s="15"/>
      <c r="J165" s="33">
        <v>44992</v>
      </c>
      <c r="K165" s="2" t="s">
        <v>33</v>
      </c>
      <c r="L165" s="8">
        <v>9.8076328904184908</v>
      </c>
      <c r="M165" s="16"/>
      <c r="N165" s="23"/>
      <c r="O165" s="24"/>
      <c r="P165" s="17"/>
    </row>
    <row r="166" spans="1:16" ht="15.75" customHeight="1" x14ac:dyDescent="0.3">
      <c r="A166" s="33">
        <v>44993</v>
      </c>
      <c r="B166" s="2" t="s">
        <v>32</v>
      </c>
      <c r="C166" s="8">
        <v>13.517863387705102</v>
      </c>
      <c r="D166" s="25"/>
      <c r="E166" s="23"/>
      <c r="F166" s="17"/>
      <c r="G166" s="17"/>
      <c r="H166" s="15"/>
      <c r="J166" s="33">
        <v>44993</v>
      </c>
      <c r="K166" s="2" t="s">
        <v>33</v>
      </c>
      <c r="L166" s="8">
        <v>9.4177115304892993</v>
      </c>
      <c r="M166" s="16"/>
      <c r="N166" s="23"/>
      <c r="O166" s="24"/>
      <c r="P166" s="17"/>
    </row>
    <row r="167" spans="1:16" ht="15.75" customHeight="1" x14ac:dyDescent="0.3">
      <c r="A167" s="33">
        <v>44994</v>
      </c>
      <c r="B167" s="2" t="s">
        <v>32</v>
      </c>
      <c r="C167" s="8">
        <v>13.211306747810472</v>
      </c>
      <c r="D167" s="25"/>
      <c r="E167" s="23"/>
      <c r="F167" s="17"/>
      <c r="G167" s="17"/>
      <c r="H167" s="15"/>
      <c r="J167" s="33">
        <v>44994</v>
      </c>
      <c r="K167" s="2" t="s">
        <v>33</v>
      </c>
      <c r="L167" s="8">
        <v>9.1686052189642524</v>
      </c>
      <c r="M167" s="16"/>
      <c r="N167" s="23"/>
      <c r="O167" s="24"/>
      <c r="P167" s="17"/>
    </row>
    <row r="168" spans="1:16" ht="15.75" customHeight="1" x14ac:dyDescent="0.3">
      <c r="A168" s="33">
        <v>44995</v>
      </c>
      <c r="B168" s="2" t="s">
        <v>32</v>
      </c>
      <c r="C168" s="8">
        <v>13.94503097558858</v>
      </c>
      <c r="D168" s="25"/>
      <c r="E168" s="23"/>
      <c r="F168" s="17"/>
      <c r="G168" s="17"/>
      <c r="H168" s="15"/>
      <c r="J168" s="33">
        <v>44995</v>
      </c>
      <c r="K168" s="2" t="s">
        <v>33</v>
      </c>
      <c r="L168" s="8">
        <v>9.1730233134476968</v>
      </c>
      <c r="M168" s="16"/>
      <c r="N168" s="23"/>
      <c r="O168" s="24"/>
      <c r="P168" s="17"/>
    </row>
    <row r="169" spans="1:16" ht="15.75" customHeight="1" x14ac:dyDescent="0.3">
      <c r="A169" s="33">
        <v>44996</v>
      </c>
      <c r="B169" s="2" t="s">
        <v>32</v>
      </c>
      <c r="C169" s="8">
        <v>12.567193479613382</v>
      </c>
      <c r="D169" s="25"/>
      <c r="E169" s="23"/>
      <c r="F169" s="17"/>
      <c r="G169" s="17"/>
      <c r="H169" s="15"/>
      <c r="J169" s="33">
        <v>44996</v>
      </c>
      <c r="K169" s="2" t="s">
        <v>33</v>
      </c>
      <c r="L169" s="8">
        <v>9.6723431776574937</v>
      </c>
      <c r="M169" s="16"/>
      <c r="N169" s="23"/>
      <c r="O169" s="24"/>
      <c r="P169" s="17"/>
    </row>
    <row r="170" spans="1:16" ht="15.75" customHeight="1" x14ac:dyDescent="0.3">
      <c r="A170" s="33">
        <v>44997</v>
      </c>
      <c r="B170" s="2" t="s">
        <v>32</v>
      </c>
      <c r="C170" s="8">
        <v>12.108117933348389</v>
      </c>
      <c r="D170" s="25"/>
      <c r="E170" s="23"/>
      <c r="F170" s="17"/>
      <c r="G170" s="17"/>
      <c r="H170" s="15"/>
      <c r="J170" s="33">
        <v>44997</v>
      </c>
      <c r="K170" s="2" t="s">
        <v>33</v>
      </c>
      <c r="L170" s="8">
        <v>9.6368824646839872</v>
      </c>
      <c r="M170" s="16"/>
      <c r="N170" s="23"/>
      <c r="O170" s="24"/>
      <c r="P170" s="17"/>
    </row>
    <row r="171" spans="1:16" ht="15.75" customHeight="1" x14ac:dyDescent="0.3">
      <c r="A171" s="33">
        <v>44998</v>
      </c>
      <c r="B171" s="2" t="s">
        <v>32</v>
      </c>
      <c r="C171" s="8">
        <v>13.569897254659082</v>
      </c>
      <c r="D171" s="25"/>
      <c r="E171" s="23"/>
      <c r="F171" s="17"/>
      <c r="G171" s="17"/>
      <c r="H171" s="15"/>
      <c r="J171" s="33">
        <v>44998</v>
      </c>
      <c r="K171" s="2" t="s">
        <v>33</v>
      </c>
      <c r="L171" s="8">
        <v>9.0358629865920648</v>
      </c>
      <c r="M171" s="16"/>
      <c r="N171" s="23"/>
      <c r="O171" s="24"/>
      <c r="P171" s="17"/>
    </row>
    <row r="172" spans="1:16" ht="15.75" customHeight="1" x14ac:dyDescent="0.3">
      <c r="A172" s="33">
        <v>44999</v>
      </c>
      <c r="B172" s="2" t="s">
        <v>32</v>
      </c>
      <c r="C172" s="8">
        <v>13.926209834367343</v>
      </c>
      <c r="D172" s="25"/>
      <c r="E172" s="23"/>
      <c r="F172" s="17"/>
      <c r="G172" s="17"/>
      <c r="H172" s="15"/>
      <c r="J172" s="33">
        <v>44999</v>
      </c>
      <c r="K172" s="2" t="s">
        <v>33</v>
      </c>
      <c r="L172" s="8">
        <v>9.0915446368425439</v>
      </c>
      <c r="M172" s="16"/>
      <c r="N172" s="23"/>
      <c r="O172" s="24"/>
      <c r="P172" s="17"/>
    </row>
    <row r="173" spans="1:16" ht="15.75" customHeight="1" x14ac:dyDescent="0.3">
      <c r="A173" s="33">
        <v>45000</v>
      </c>
      <c r="B173" s="2" t="s">
        <v>32</v>
      </c>
      <c r="C173" s="8">
        <v>12.845932138440366</v>
      </c>
      <c r="D173" s="25"/>
      <c r="E173" s="23"/>
      <c r="F173" s="17"/>
      <c r="G173" s="17"/>
      <c r="H173" s="15"/>
      <c r="J173" s="33">
        <v>45000</v>
      </c>
      <c r="K173" s="2" t="s">
        <v>33</v>
      </c>
      <c r="L173" s="8">
        <v>9.1162472667263295</v>
      </c>
      <c r="M173" s="16"/>
      <c r="N173" s="23"/>
      <c r="O173" s="24"/>
      <c r="P173" s="17"/>
    </row>
    <row r="174" spans="1:16" ht="15.75" customHeight="1" x14ac:dyDescent="0.3">
      <c r="A174" s="33">
        <v>45001</v>
      </c>
      <c r="B174" s="2" t="s">
        <v>32</v>
      </c>
      <c r="C174" s="8">
        <v>13.05361847393611</v>
      </c>
      <c r="D174" s="25"/>
      <c r="E174" s="23"/>
      <c r="F174" s="17"/>
      <c r="G174" s="17"/>
      <c r="H174" s="15"/>
      <c r="J174" s="33">
        <v>45001</v>
      </c>
      <c r="K174" s="2" t="s">
        <v>33</v>
      </c>
      <c r="L174" s="8">
        <v>9.2454167543041681</v>
      </c>
      <c r="M174" s="16"/>
      <c r="N174" s="23"/>
      <c r="O174" s="24"/>
      <c r="P174" s="17"/>
    </row>
    <row r="175" spans="1:16" ht="15.75" customHeight="1" x14ac:dyDescent="0.3">
      <c r="A175" s="33">
        <v>45002</v>
      </c>
      <c r="B175" s="2" t="s">
        <v>32</v>
      </c>
      <c r="C175" s="8">
        <v>13.805635035651274</v>
      </c>
      <c r="D175" s="25"/>
      <c r="E175" s="23"/>
      <c r="F175" s="17"/>
      <c r="G175" s="17"/>
      <c r="H175" s="15"/>
      <c r="J175" s="33">
        <v>45002</v>
      </c>
      <c r="K175" s="2" t="s">
        <v>33</v>
      </c>
      <c r="L175" s="8">
        <v>9.3266424057723487</v>
      </c>
      <c r="M175" s="16"/>
      <c r="N175" s="23"/>
      <c r="O175" s="24"/>
      <c r="P175" s="17"/>
    </row>
    <row r="176" spans="1:16" ht="15.75" customHeight="1" x14ac:dyDescent="0.3">
      <c r="A176" s="33">
        <v>45003</v>
      </c>
      <c r="B176" s="2" t="s">
        <v>32</v>
      </c>
      <c r="C176" s="8">
        <v>12.038203294235231</v>
      </c>
      <c r="D176" s="25"/>
      <c r="E176" s="23"/>
      <c r="F176" s="17"/>
      <c r="G176" s="17"/>
      <c r="H176" s="15"/>
      <c r="J176" s="33">
        <v>45003</v>
      </c>
      <c r="K176" s="2" t="s">
        <v>33</v>
      </c>
      <c r="L176" s="8">
        <v>9.036163792164766</v>
      </c>
      <c r="M176" s="16"/>
      <c r="N176" s="23"/>
      <c r="O176" s="24"/>
      <c r="P176" s="17"/>
    </row>
    <row r="177" spans="1:16" ht="15.75" customHeight="1" x14ac:dyDescent="0.3">
      <c r="A177" s="33">
        <v>45004</v>
      </c>
      <c r="B177" s="2" t="s">
        <v>32</v>
      </c>
      <c r="C177" s="8">
        <v>12.128422625390929</v>
      </c>
      <c r="D177" s="25"/>
      <c r="E177" s="23"/>
      <c r="F177" s="17"/>
      <c r="G177" s="17"/>
      <c r="H177" s="15"/>
      <c r="J177" s="33">
        <v>45004</v>
      </c>
      <c r="K177" s="2" t="s">
        <v>33</v>
      </c>
      <c r="L177" s="8">
        <v>9.7579670997665193</v>
      </c>
      <c r="M177" s="16"/>
      <c r="N177" s="23"/>
      <c r="O177" s="24"/>
      <c r="P177" s="17"/>
    </row>
    <row r="178" spans="1:16" ht="15.75" customHeight="1" x14ac:dyDescent="0.3">
      <c r="A178" s="33">
        <v>45005</v>
      </c>
      <c r="B178" s="2" t="s">
        <v>32</v>
      </c>
      <c r="C178" s="8">
        <v>13.182969141721239</v>
      </c>
      <c r="D178" s="25"/>
      <c r="E178" s="23"/>
      <c r="F178" s="17"/>
      <c r="G178" s="17"/>
      <c r="H178" s="15"/>
      <c r="J178" s="33">
        <v>45005</v>
      </c>
      <c r="K178" s="2" t="s">
        <v>33</v>
      </c>
      <c r="L178" s="8">
        <v>9.372598285277677</v>
      </c>
      <c r="M178" s="16"/>
      <c r="N178" s="23"/>
      <c r="O178" s="24"/>
      <c r="P178" s="17"/>
    </row>
    <row r="179" spans="1:16" ht="15.75" customHeight="1" x14ac:dyDescent="0.3">
      <c r="A179" s="33">
        <v>45006</v>
      </c>
      <c r="B179" s="2" t="s">
        <v>32</v>
      </c>
      <c r="C179" s="8">
        <v>12.416904314331198</v>
      </c>
      <c r="D179" s="25"/>
      <c r="E179" s="23"/>
      <c r="F179" s="17"/>
      <c r="G179" s="17"/>
      <c r="H179" s="15"/>
      <c r="J179" s="33">
        <v>45006</v>
      </c>
      <c r="K179" s="2" t="s">
        <v>33</v>
      </c>
      <c r="L179" s="8">
        <v>9.1248082186775008</v>
      </c>
      <c r="M179" s="16"/>
      <c r="N179" s="23"/>
      <c r="O179" s="24"/>
      <c r="P179" s="17"/>
    </row>
    <row r="180" spans="1:16" ht="15.75" customHeight="1" x14ac:dyDescent="0.3">
      <c r="A180" s="33">
        <v>45007</v>
      </c>
      <c r="B180" s="2" t="s">
        <v>32</v>
      </c>
      <c r="C180" s="8">
        <v>13.847820103220299</v>
      </c>
      <c r="D180" s="25"/>
      <c r="E180" s="23"/>
      <c r="F180" s="17"/>
      <c r="G180" s="17"/>
      <c r="H180" s="15"/>
      <c r="J180" s="33">
        <v>45007</v>
      </c>
      <c r="K180" s="2" t="s">
        <v>33</v>
      </c>
      <c r="L180" s="8">
        <v>9.0542984037078558</v>
      </c>
      <c r="M180" s="16"/>
      <c r="N180" s="23"/>
      <c r="O180" s="24"/>
      <c r="P180" s="17"/>
    </row>
    <row r="181" spans="1:16" ht="15.75" customHeight="1" x14ac:dyDescent="0.3">
      <c r="A181" s="33">
        <v>45008</v>
      </c>
      <c r="B181" s="2" t="s">
        <v>32</v>
      </c>
      <c r="C181" s="8">
        <v>12.80458755236265</v>
      </c>
      <c r="D181" s="25"/>
      <c r="E181" s="23"/>
      <c r="F181" s="17"/>
      <c r="G181" s="17"/>
      <c r="H181" s="15"/>
      <c r="J181" s="33">
        <v>45008</v>
      </c>
      <c r="K181" s="2" t="s">
        <v>33</v>
      </c>
      <c r="L181" s="8">
        <v>9.8271250611169378</v>
      </c>
      <c r="M181" s="16"/>
      <c r="N181" s="23"/>
      <c r="O181" s="24"/>
      <c r="P181" s="17"/>
    </row>
    <row r="182" spans="1:16" ht="15.75" customHeight="1" x14ac:dyDescent="0.3">
      <c r="A182" s="33">
        <v>45009</v>
      </c>
      <c r="B182" s="2" t="s">
        <v>32</v>
      </c>
      <c r="C182" s="8">
        <v>12.510785107150582</v>
      </c>
      <c r="D182" s="25"/>
      <c r="E182" s="23"/>
      <c r="F182" s="17"/>
      <c r="G182" s="17"/>
      <c r="H182" s="15"/>
      <c r="J182" s="33">
        <v>45009</v>
      </c>
      <c r="K182" s="2" t="s">
        <v>33</v>
      </c>
      <c r="L182" s="8">
        <v>9.5401101995033457</v>
      </c>
      <c r="M182" s="16"/>
      <c r="N182" s="23"/>
      <c r="O182" s="24"/>
      <c r="P182" s="17"/>
    </row>
    <row r="183" spans="1:16" ht="15.75" customHeight="1" x14ac:dyDescent="0.3">
      <c r="A183" s="33">
        <v>45010</v>
      </c>
      <c r="B183" s="2" t="s">
        <v>32</v>
      </c>
      <c r="C183" s="8">
        <v>13.492804696302775</v>
      </c>
      <c r="D183" s="25"/>
      <c r="E183" s="23"/>
      <c r="F183" s="17"/>
      <c r="G183" s="17"/>
      <c r="H183" s="15"/>
      <c r="J183" s="33">
        <v>45010</v>
      </c>
      <c r="K183" s="2" t="s">
        <v>33</v>
      </c>
      <c r="L183" s="8">
        <v>9.2564087689338521</v>
      </c>
      <c r="M183" s="16"/>
      <c r="N183" s="23"/>
      <c r="O183" s="24"/>
      <c r="P183" s="17"/>
    </row>
    <row r="184" spans="1:16" ht="15.75" customHeight="1" x14ac:dyDescent="0.3">
      <c r="A184" s="33">
        <v>45011</v>
      </c>
      <c r="B184" s="2" t="s">
        <v>32</v>
      </c>
      <c r="C184" s="8">
        <v>13.64341992437112</v>
      </c>
      <c r="D184" s="25"/>
      <c r="E184" s="23"/>
      <c r="F184" s="17"/>
      <c r="G184" s="17"/>
      <c r="H184" s="15"/>
      <c r="J184" s="33">
        <v>45011</v>
      </c>
      <c r="K184" s="2" t="s">
        <v>33</v>
      </c>
      <c r="L184" s="8">
        <v>9.9074841249181524</v>
      </c>
      <c r="M184" s="16"/>
      <c r="N184" s="23"/>
      <c r="O184" s="24"/>
      <c r="P184" s="17"/>
    </row>
    <row r="185" spans="1:16" ht="15.75" customHeight="1" x14ac:dyDescent="0.3">
      <c r="A185" s="33">
        <v>45012</v>
      </c>
      <c r="B185" s="2" t="s">
        <v>32</v>
      </c>
      <c r="C185" s="8">
        <v>12.006068199915379</v>
      </c>
      <c r="D185" s="25"/>
      <c r="E185" s="23"/>
      <c r="F185" s="17"/>
      <c r="G185" s="17"/>
      <c r="H185" s="15"/>
      <c r="J185" s="33">
        <v>45012</v>
      </c>
      <c r="K185" s="2" t="s">
        <v>33</v>
      </c>
      <c r="L185" s="8">
        <v>9.1447918723479624</v>
      </c>
      <c r="M185" s="16"/>
      <c r="N185" s="23"/>
      <c r="O185" s="24"/>
      <c r="P185" s="17"/>
    </row>
    <row r="186" spans="1:16" ht="15.75" customHeight="1" x14ac:dyDescent="0.3">
      <c r="A186" s="33">
        <v>45013</v>
      </c>
      <c r="B186" s="2" t="s">
        <v>32</v>
      </c>
      <c r="C186" s="8">
        <v>13.63445071555712</v>
      </c>
      <c r="D186" s="25"/>
      <c r="E186" s="23"/>
      <c r="F186" s="17"/>
      <c r="G186" s="17"/>
      <c r="H186" s="15"/>
      <c r="J186" s="33">
        <v>45013</v>
      </c>
      <c r="K186" s="2" t="s">
        <v>33</v>
      </c>
      <c r="L186" s="8">
        <v>9.4932368544531229</v>
      </c>
      <c r="M186" s="16"/>
      <c r="N186" s="23"/>
      <c r="O186" s="24"/>
      <c r="P186" s="17"/>
    </row>
    <row r="187" spans="1:16" ht="15.75" customHeight="1" x14ac:dyDescent="0.3">
      <c r="A187" s="33">
        <v>45014</v>
      </c>
      <c r="B187" s="2" t="s">
        <v>32</v>
      </c>
      <c r="C187" s="8">
        <v>13.947956735233904</v>
      </c>
      <c r="D187" s="25"/>
      <c r="E187" s="23"/>
      <c r="F187" s="17"/>
      <c r="G187" s="17"/>
      <c r="H187" s="15"/>
      <c r="J187" s="33">
        <v>45014</v>
      </c>
      <c r="K187" s="2" t="s">
        <v>33</v>
      </c>
      <c r="L187" s="8">
        <v>9.8803481494923009</v>
      </c>
      <c r="M187" s="16"/>
      <c r="N187" s="23"/>
      <c r="O187" s="24"/>
      <c r="P187" s="17"/>
    </row>
    <row r="188" spans="1:16" ht="15.75" customHeight="1" x14ac:dyDescent="0.3">
      <c r="A188" s="33">
        <v>45015</v>
      </c>
      <c r="B188" s="2" t="s">
        <v>32</v>
      </c>
      <c r="C188" s="8">
        <v>13.06631800632459</v>
      </c>
      <c r="D188" s="25"/>
      <c r="E188" s="23"/>
      <c r="F188" s="17"/>
      <c r="G188" s="17"/>
      <c r="H188" s="15"/>
      <c r="J188" s="33">
        <v>45015</v>
      </c>
      <c r="K188" s="2" t="s">
        <v>33</v>
      </c>
      <c r="L188" s="8">
        <v>9.1501947759012126</v>
      </c>
      <c r="M188" s="16"/>
      <c r="N188" s="23"/>
      <c r="O188" s="24"/>
      <c r="P188" s="17"/>
    </row>
    <row r="189" spans="1:16" ht="15.75" customHeight="1" x14ac:dyDescent="0.3">
      <c r="A189" s="33">
        <v>45016</v>
      </c>
      <c r="B189" s="2" t="s">
        <v>32</v>
      </c>
      <c r="C189" s="8">
        <v>13.174744497421486</v>
      </c>
      <c r="D189" s="25"/>
      <c r="E189" s="23"/>
      <c r="F189" s="17"/>
      <c r="G189" s="17"/>
      <c r="H189" s="15"/>
      <c r="J189" s="33">
        <v>45016</v>
      </c>
      <c r="K189" s="2" t="s">
        <v>33</v>
      </c>
      <c r="L189" s="8">
        <v>9.6166575571604458</v>
      </c>
      <c r="M189" s="16"/>
      <c r="N189" s="23"/>
      <c r="O189" s="24"/>
      <c r="P189" s="17"/>
    </row>
    <row r="190" spans="1:16" ht="15.75" customHeight="1" x14ac:dyDescent="0.3"/>
    <row r="191" spans="1:16" ht="15.75" customHeight="1" x14ac:dyDescent="0.3"/>
    <row r="192" spans="1:16"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H16"/>
  <sheetViews>
    <sheetView tabSelected="1" workbookViewId="0">
      <selection activeCell="D5" sqref="D5"/>
    </sheetView>
  </sheetViews>
  <sheetFormatPr defaultRowHeight="14.4" x14ac:dyDescent="0.3"/>
  <cols>
    <col min="1" max="1" width="22.21875" customWidth="1"/>
    <col min="2" max="2" width="20.88671875" bestFit="1" customWidth="1"/>
    <col min="3" max="3" width="6" bestFit="1" customWidth="1"/>
    <col min="4" max="4" width="8" bestFit="1" customWidth="1"/>
    <col min="5" max="5" width="16.77734375" bestFit="1" customWidth="1"/>
    <col min="6" max="6" width="13.109375" bestFit="1" customWidth="1"/>
    <col min="7" max="7" width="12.33203125" bestFit="1" customWidth="1"/>
    <col min="8" max="8" width="15" bestFit="1" customWidth="1"/>
  </cols>
  <sheetData>
    <row r="1" spans="1:8" x14ac:dyDescent="0.3">
      <c r="A1" s="18" t="s">
        <v>46</v>
      </c>
      <c r="B1" s="18" t="s">
        <v>35</v>
      </c>
      <c r="C1" s="18" t="s">
        <v>30</v>
      </c>
      <c r="D1" s="18" t="s">
        <v>31</v>
      </c>
      <c r="E1" s="18" t="s">
        <v>52</v>
      </c>
      <c r="F1" s="18" t="s">
        <v>37</v>
      </c>
      <c r="G1" s="18" t="s">
        <v>47</v>
      </c>
      <c r="H1" s="18" t="s">
        <v>53</v>
      </c>
    </row>
    <row r="2" spans="1:8" x14ac:dyDescent="0.3">
      <c r="A2" s="19">
        <f>IF(Question!$I$44=1,Question!A72,IF(Question!$I$44=2,Question!C72,Question!E72))</f>
        <v>44829</v>
      </c>
      <c r="B2" s="20" t="str">
        <f>IF(Question!$I$44=1,Question!B72,IF(Question!$I$44=2,Question!D72,Question!F72))</f>
        <v>Buy Units into the policy</v>
      </c>
      <c r="C2" s="20" t="s">
        <v>32</v>
      </c>
      <c r="D2" s="20">
        <f t="shared" ref="D2:D16" si="0">VLOOKUP(A2,Equity,3,0)</f>
        <v>13.719627154678445</v>
      </c>
      <c r="E2" s="21">
        <f>Price!D2</f>
        <v>20600</v>
      </c>
      <c r="F2" s="22">
        <f>IF(OR(B2="Buy Units into the policy",B2="Regular Withdrawal",B2="Maintenance charge"),E2/D2,G1)</f>
        <v>1501.4985296430102</v>
      </c>
      <c r="G2" s="21">
        <f>F2</f>
        <v>1501.4985296430102</v>
      </c>
      <c r="H2" s="22">
        <f>G2*D2</f>
        <v>20600</v>
      </c>
    </row>
    <row r="3" spans="1:8" x14ac:dyDescent="0.3">
      <c r="A3" s="19">
        <f>IF(Question!$I$44=1,Question!A73,IF(Question!$I$44=2,Question!C73,Question!E73))</f>
        <v>44835</v>
      </c>
      <c r="B3" s="20" t="str">
        <f>IF(Question!$I$44=1,Question!B73,IF(Question!$I$44=2,Question!D73,Question!F73))</f>
        <v>Regular Withdrawal</v>
      </c>
      <c r="C3" s="20" t="s">
        <v>32</v>
      </c>
      <c r="D3" s="20">
        <f t="shared" si="0"/>
        <v>13.363786128265302</v>
      </c>
      <c r="E3" s="21">
        <f>IF(B3="Regular Withdrawal",-G2*D3*0.0075,IF(B3="Maintenance Charge",-G2*D3*(0.006/12),G2*D3))</f>
        <v>-150.49278916540504</v>
      </c>
      <c r="F3" s="22">
        <f>IF(OR(B3="Buy Units into the policy",B3="Regular Withdrawal",B3="Maintenance charge"),E3/D3,IF(AND(B3="Balance Reconciled",E3/$E$2&lt;0.04),$F$2,G2))</f>
        <v>-11.261238972322577</v>
      </c>
      <c r="G3" s="21">
        <f>IF(OR(B3="Exits the Policy",B3="Balance Reconciled"),F3,G2+F3)</f>
        <v>1490.2372906706876</v>
      </c>
      <c r="H3" s="22">
        <f t="shared" ref="H3:H9" si="1">G3*D3</f>
        <v>19915.212432888602</v>
      </c>
    </row>
    <row r="4" spans="1:8" x14ac:dyDescent="0.3">
      <c r="A4" s="19">
        <f>IF(Question!$I$44=1,Question!A74,IF(Question!$I$44=2,Question!C74,Question!E74))</f>
        <v>44859</v>
      </c>
      <c r="B4" s="20" t="str">
        <f>IF(Question!$I$44=1,Question!B74,IF(Question!$I$44=2,Question!D74,Question!F74))</f>
        <v>Maintenance charge</v>
      </c>
      <c r="C4" s="20" t="s">
        <v>32</v>
      </c>
      <c r="D4" s="20">
        <f t="shared" si="0"/>
        <v>13.701445840390386</v>
      </c>
      <c r="E4" s="21">
        <f t="shared" ref="E4:E16" si="2">IF(B4="Regular Withdrawal",-100,IF(B4="Maintenance Charge",-G3*D4*(0.005/12),G3*D4))</f>
        <v>-8.5076689697727215</v>
      </c>
      <c r="F4" s="22">
        <f t="shared" ref="F4:F16" si="3">IF(OR(B4="Buy Units into the policy",B4="Regular Withdrawal",B4="Maintenance charge"),E4/D4,IF(AND(B4="Balance Reconciled",E4/$E$2&lt;0.04),$F$2,G3))</f>
        <v>-0.62093220444611985</v>
      </c>
      <c r="G4" s="21">
        <f t="shared" ref="G4:G16" si="4">IF(OR(B4="Exits the Policy",B4="Balance Reconciled"),F4,G3+F4)</f>
        <v>1489.6163584662415</v>
      </c>
      <c r="H4" s="22">
        <f t="shared" si="1"/>
        <v>20409.897858484761</v>
      </c>
    </row>
    <row r="5" spans="1:8" x14ac:dyDescent="0.3">
      <c r="A5" s="19">
        <f>IF(Question!$I$44=1,Question!A75,IF(Question!$I$44=2,Question!C75,Question!E75))</f>
        <v>44866</v>
      </c>
      <c r="B5" s="20" t="str">
        <f>IF(Question!$I$44=1,Question!B75,IF(Question!$I$44=2,Question!D75,Question!F75))</f>
        <v>Regular Withdrawal</v>
      </c>
      <c r="C5" s="20" t="s">
        <v>32</v>
      </c>
      <c r="D5" s="20">
        <f t="shared" si="0"/>
        <v>12.447813077221305</v>
      </c>
      <c r="E5" s="21">
        <f t="shared" si="2"/>
        <v>-100</v>
      </c>
      <c r="F5" s="22">
        <f t="shared" si="3"/>
        <v>-8.0335396570979647</v>
      </c>
      <c r="G5" s="21">
        <f t="shared" si="4"/>
        <v>1481.5828188091436</v>
      </c>
      <c r="H5" s="22">
        <f t="shared" si="1"/>
        <v>18442.465986958861</v>
      </c>
    </row>
    <row r="6" spans="1:8" x14ac:dyDescent="0.3">
      <c r="A6" s="19">
        <f>IF(Question!$I$44=1,Question!A76,IF(Question!$I$44=2,Question!C77,Question!E76))</f>
        <v>44890</v>
      </c>
      <c r="B6" s="20" t="str">
        <f>IF(Question!$I$44=1,Question!B76,IF(Question!$I$44=2,Question!D76,Question!F76))</f>
        <v>Maintenance charge</v>
      </c>
      <c r="C6" s="20" t="s">
        <v>32</v>
      </c>
      <c r="D6" s="20">
        <f t="shared" si="0"/>
        <v>13.706459438952988</v>
      </c>
      <c r="E6" s="21">
        <f t="shared" si="2"/>
        <v>-8.4613561714404852</v>
      </c>
      <c r="F6" s="22">
        <f t="shared" si="3"/>
        <v>-0.61732617450380989</v>
      </c>
      <c r="G6" s="21">
        <f t="shared" si="4"/>
        <v>1480.9654926346398</v>
      </c>
      <c r="H6" s="22">
        <f t="shared" si="1"/>
        <v>20298.793455285719</v>
      </c>
    </row>
    <row r="7" spans="1:8" x14ac:dyDescent="0.3">
      <c r="A7" s="19">
        <f>IF(Question!$I$44=1,Question!A77,IF(Question!$I$44=2,Question!C77,Question!E77))</f>
        <v>44896</v>
      </c>
      <c r="B7" s="20" t="str">
        <f>IF(Question!$I$44=1,Question!B77,IF(Question!$I$44=2,Question!D77,Question!F77))</f>
        <v>Regular Withdrawal</v>
      </c>
      <c r="C7" s="20" t="s">
        <v>32</v>
      </c>
      <c r="D7" s="20">
        <f t="shared" si="0"/>
        <v>12.7370989135729</v>
      </c>
      <c r="E7" s="21">
        <f t="shared" si="2"/>
        <v>-100</v>
      </c>
      <c r="F7" s="22">
        <f t="shared" si="3"/>
        <v>-7.8510813709264715</v>
      </c>
      <c r="G7" s="21">
        <f t="shared" si="4"/>
        <v>1473.1144112637132</v>
      </c>
      <c r="H7" s="22">
        <f t="shared" si="1"/>
        <v>18763.203967275625</v>
      </c>
    </row>
    <row r="8" spans="1:8" x14ac:dyDescent="0.3">
      <c r="A8" s="19">
        <f>IF(Question!$I$44=1,Question!A78,IF(Question!$I$44=2,Question!C78,Question!E78))</f>
        <v>44920</v>
      </c>
      <c r="B8" s="20" t="str">
        <f>IF(Question!$I$44=1,Question!B78,IF(Question!$I$44=2,Question!D78,Question!F78))</f>
        <v>Maintenance charge</v>
      </c>
      <c r="C8" s="20" t="s">
        <v>32</v>
      </c>
      <c r="D8" s="20">
        <f t="shared" si="0"/>
        <v>13.165533710164929</v>
      </c>
      <c r="E8" s="21">
        <f t="shared" si="2"/>
        <v>-8.0809739335092416</v>
      </c>
      <c r="F8" s="22">
        <f t="shared" si="3"/>
        <v>-0.6137976713598805</v>
      </c>
      <c r="G8" s="21">
        <f t="shared" si="4"/>
        <v>1472.5006135923534</v>
      </c>
      <c r="H8" s="22">
        <f t="shared" si="1"/>
        <v>19386.25646648867</v>
      </c>
    </row>
    <row r="9" spans="1:8" x14ac:dyDescent="0.3">
      <c r="A9" s="19">
        <f>IF(Question!$I$44=1,Question!A79,IF(Question!$I$44=2,Question!C79,""))</f>
        <v>44926</v>
      </c>
      <c r="B9" s="20" t="str">
        <f>IF(Question!$I$44=1,Question!B79,IF(Question!$I$44=2,Question!D79,Question!F79))</f>
        <v>Balance Reconciled</v>
      </c>
      <c r="C9" s="36" t="s">
        <v>32</v>
      </c>
      <c r="D9" s="20">
        <f t="shared" si="0"/>
        <v>12.501654858947413</v>
      </c>
      <c r="E9" s="21">
        <f t="shared" si="2"/>
        <v>18408.694450719893</v>
      </c>
      <c r="F9" s="22">
        <f t="shared" si="3"/>
        <v>1472.5006135923534</v>
      </c>
      <c r="G9" s="21">
        <f t="shared" si="4"/>
        <v>1472.5006135923534</v>
      </c>
      <c r="H9" s="37">
        <f t="shared" si="1"/>
        <v>18408.694450719893</v>
      </c>
    </row>
    <row r="10" spans="1:8" x14ac:dyDescent="0.3">
      <c r="A10" s="19">
        <f>IF(Question!$I$44=1,Question!A80,IF(Question!$I$44=2,Question!C80,""))</f>
        <v>44927</v>
      </c>
      <c r="B10" s="20" t="str">
        <f>IF(Question!$I$44=1,Question!B80,IF(Question!$I$44=2,Question!D80,Question!F80))</f>
        <v>Regular Withdrawal</v>
      </c>
      <c r="C10" s="20" t="s">
        <v>32</v>
      </c>
      <c r="D10" s="20">
        <f t="shared" si="0"/>
        <v>12.018528254818309</v>
      </c>
      <c r="E10" s="21">
        <f t="shared" si="2"/>
        <v>-100</v>
      </c>
      <c r="F10" s="22">
        <f t="shared" si="3"/>
        <v>-8.320486325762003</v>
      </c>
      <c r="G10" s="21">
        <f t="shared" si="4"/>
        <v>1464.1801272665914</v>
      </c>
      <c r="H10" s="22">
        <f t="shared" ref="H10:H16" si="5">G10*D10</f>
        <v>17597.290229696995</v>
      </c>
    </row>
    <row r="11" spans="1:8" x14ac:dyDescent="0.3">
      <c r="A11" s="19">
        <f>IF(Question!$I$44=1,Question!A81,IF(Question!$I$44=2,Question!C81,""))</f>
        <v>44951</v>
      </c>
      <c r="B11" s="20" t="str">
        <f>IF(Question!$I$44=1,Question!B81,IF(Question!$I$44=2,Question!D81,Question!F81))</f>
        <v>Maintenance charge</v>
      </c>
      <c r="C11" s="20" t="s">
        <v>32</v>
      </c>
      <c r="D11" s="20">
        <f t="shared" si="0"/>
        <v>13.18441098770495</v>
      </c>
      <c r="E11" s="21">
        <f t="shared" si="2"/>
        <v>-8.0434802324637005</v>
      </c>
      <c r="F11" s="22">
        <f t="shared" si="3"/>
        <v>-0.61007505302774645</v>
      </c>
      <c r="G11" s="21">
        <f t="shared" si="4"/>
        <v>1463.5700522135637</v>
      </c>
      <c r="H11" s="22">
        <f t="shared" si="5"/>
        <v>19296.309077680417</v>
      </c>
    </row>
    <row r="12" spans="1:8" x14ac:dyDescent="0.3">
      <c r="A12" s="19">
        <f>IF(Question!$I$44=1,Question!A82,IF(Question!$I$44=2,Question!C82,""))</f>
        <v>44958</v>
      </c>
      <c r="B12" s="20" t="str">
        <f>IF(Question!$I$44=1,Question!B82,IF(Question!$I$44=2,Question!D82,Question!F82))</f>
        <v>Regular Withdrawal</v>
      </c>
      <c r="C12" s="20" t="s">
        <v>32</v>
      </c>
      <c r="D12" s="20">
        <f t="shared" si="0"/>
        <v>12.489011891692208</v>
      </c>
      <c r="E12" s="21">
        <f t="shared" si="2"/>
        <v>-100</v>
      </c>
      <c r="F12" s="22">
        <f t="shared" si="3"/>
        <v>-8.0070385765683199</v>
      </c>
      <c r="G12" s="21">
        <f t="shared" si="4"/>
        <v>1455.5630136369955</v>
      </c>
      <c r="H12" s="22">
        <f t="shared" si="5"/>
        <v>18178.543786419785</v>
      </c>
    </row>
    <row r="13" spans="1:8" x14ac:dyDescent="0.3">
      <c r="A13" s="19">
        <f>IF(Question!$I$44=1,Question!A83,"")</f>
        <v>44982</v>
      </c>
      <c r="B13" s="20" t="str">
        <f>IF(Question!$I$44=1,Question!B83,IF(Question!$I$44=2,Question!D83,Question!F83))</f>
        <v>Maintenance charge</v>
      </c>
      <c r="C13" s="20" t="s">
        <v>32</v>
      </c>
      <c r="D13" s="20">
        <f t="shared" si="0"/>
        <v>13.719845301112246</v>
      </c>
      <c r="E13" s="21">
        <f t="shared" si="2"/>
        <v>-8.3208747388001303</v>
      </c>
      <c r="F13" s="22">
        <f t="shared" si="3"/>
        <v>-0.6064845890154148</v>
      </c>
      <c r="G13" s="21">
        <f t="shared" si="4"/>
        <v>1454.95652904798</v>
      </c>
      <c r="H13" s="22">
        <f t="shared" si="5"/>
        <v>19961.778498381511</v>
      </c>
    </row>
    <row r="14" spans="1:8" x14ac:dyDescent="0.3">
      <c r="A14" s="19">
        <f>IF(Question!$I$44=1,Question!A84,"")</f>
        <v>44986</v>
      </c>
      <c r="B14" s="20" t="str">
        <f>IF(Question!$I$44=1,Question!B84,IF(Question!$I$44=2,Question!D84,Question!F84))</f>
        <v>Regular Withdrawal</v>
      </c>
      <c r="C14" s="20" t="s">
        <v>32</v>
      </c>
      <c r="D14" s="20">
        <f t="shared" si="0"/>
        <v>12.332954988586916</v>
      </c>
      <c r="E14" s="21">
        <f t="shared" si="2"/>
        <v>-100</v>
      </c>
      <c r="F14" s="22">
        <f t="shared" si="3"/>
        <v>-8.1083568449362993</v>
      </c>
      <c r="G14" s="21">
        <f t="shared" si="4"/>
        <v>1446.8481722030438</v>
      </c>
      <c r="H14" s="22">
        <f t="shared" si="5"/>
        <v>17843.913383099389</v>
      </c>
    </row>
    <row r="15" spans="1:8" x14ac:dyDescent="0.3">
      <c r="A15" s="19">
        <f>IF(Question!$I$44=1,Question!A85,"")</f>
        <v>45010</v>
      </c>
      <c r="B15" s="20" t="str">
        <f>IF(Question!$I$44=1,Question!B85,IF(Question!$I$44=2,Question!D85,Question!F85))</f>
        <v>Maintenance charge</v>
      </c>
      <c r="C15" s="20" t="s">
        <v>32</v>
      </c>
      <c r="D15" s="20">
        <f t="shared" si="0"/>
        <v>13.492804696302775</v>
      </c>
      <c r="E15" s="21">
        <f t="shared" si="2"/>
        <v>-8.134183255307633</v>
      </c>
      <c r="F15" s="22">
        <f t="shared" si="3"/>
        <v>-0.60285340508460172</v>
      </c>
      <c r="G15" s="21">
        <f t="shared" si="4"/>
        <v>1446.2453187979593</v>
      </c>
      <c r="H15" s="22">
        <f t="shared" si="5"/>
        <v>19513.905629483008</v>
      </c>
    </row>
    <row r="16" spans="1:8" x14ac:dyDescent="0.3">
      <c r="A16" s="19">
        <f>IF(Question!$I$44=1,Question!A86,"")</f>
        <v>45016</v>
      </c>
      <c r="B16" s="20" t="str">
        <f>IF(Question!$I$44=1,Question!B86,IF(Question!$I$44=2,Question!D86,Question!F86))</f>
        <v>Exits the Policy</v>
      </c>
      <c r="C16" s="20" t="s">
        <v>32</v>
      </c>
      <c r="D16" s="20">
        <f t="shared" si="0"/>
        <v>13.174744497421486</v>
      </c>
      <c r="E16" s="21">
        <f t="shared" si="2"/>
        <v>19053.912555754996</v>
      </c>
      <c r="F16" s="22">
        <f t="shared" si="3"/>
        <v>1446.2453187979593</v>
      </c>
      <c r="G16" s="21">
        <f t="shared" si="4"/>
        <v>1446.2453187979593</v>
      </c>
      <c r="H16" s="22">
        <f t="shared" si="5"/>
        <v>19053.912555754996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0"/>
  <sheetViews>
    <sheetView workbookViewId="0">
      <selection activeCell="D3" sqref="D3"/>
    </sheetView>
  </sheetViews>
  <sheetFormatPr defaultRowHeight="14.4" x14ac:dyDescent="0.3"/>
  <cols>
    <col min="1" max="1" width="10.77734375" bestFit="1" customWidth="1"/>
    <col min="2" max="2" width="20.88671875" bestFit="1" customWidth="1"/>
    <col min="3" max="3" width="9.44140625" customWidth="1"/>
    <col min="4" max="4" width="5.109375" bestFit="1" customWidth="1"/>
    <col min="5" max="5" width="16.77734375" bestFit="1" customWidth="1"/>
    <col min="6" max="6" width="9.21875" customWidth="1"/>
    <col min="7" max="7" width="12.33203125" bestFit="1" customWidth="1"/>
    <col min="8" max="8" width="15" bestFit="1" customWidth="1"/>
  </cols>
  <sheetData>
    <row r="1" spans="1:8" x14ac:dyDescent="0.3">
      <c r="A1" s="18" t="s">
        <v>46</v>
      </c>
      <c r="B1" s="18" t="s">
        <v>35</v>
      </c>
      <c r="C1" s="18" t="s">
        <v>30</v>
      </c>
      <c r="D1" s="18" t="s">
        <v>31</v>
      </c>
      <c r="E1" s="18" t="s">
        <v>52</v>
      </c>
      <c r="F1" s="18" t="s">
        <v>37</v>
      </c>
      <c r="G1" s="18" t="s">
        <v>47</v>
      </c>
      <c r="H1" s="18" t="s">
        <v>53</v>
      </c>
    </row>
    <row r="2" spans="1:8" x14ac:dyDescent="0.3">
      <c r="A2" s="19">
        <f>IF(Question!$I$44=1,Question!A72,IF(Question!$I$44=2,Question!C72,Question!E72))</f>
        <v>44829</v>
      </c>
      <c r="B2" s="20" t="str">
        <f>IF(Question!$I$44=1,Question!B72,IF(Question!$I$44=2,Question!D72,Question!F72))</f>
        <v>Buy Units into the policy</v>
      </c>
      <c r="C2" s="20" t="s">
        <v>33</v>
      </c>
      <c r="D2" s="20">
        <f t="shared" ref="D2:D16" si="0">VLOOKUP(A2,Debt,3,0)</f>
        <v>9.8573134018108242</v>
      </c>
      <c r="E2" s="21">
        <f>Price!M2</f>
        <v>30900</v>
      </c>
      <c r="F2" s="22">
        <f>IF(OR(B2="Buy Units into the policy",B2="Regular Withdrawal",B2="Maintenance charge"),E2/D2,G1)</f>
        <v>3134.7283727758477</v>
      </c>
      <c r="G2" s="21">
        <f>F2</f>
        <v>3134.7283727758477</v>
      </c>
      <c r="H2" s="22">
        <f>G2*D2</f>
        <v>30900</v>
      </c>
    </row>
    <row r="3" spans="1:8" x14ac:dyDescent="0.3">
      <c r="A3" s="19">
        <f>IF(Question!$I$44=1,Question!A73,IF(Question!$I$44=2,Question!C73,Question!E73))</f>
        <v>44835</v>
      </c>
      <c r="B3" s="20" t="str">
        <f>IF(Question!$I$44=1,Question!B73,IF(Question!$I$44=2,Question!D73,Question!F73))</f>
        <v>Regular Withdrawal</v>
      </c>
      <c r="C3" s="20" t="s">
        <v>33</v>
      </c>
      <c r="D3" s="20">
        <f t="shared" si="0"/>
        <v>9.1665527074914053</v>
      </c>
      <c r="E3" s="21">
        <f>IF(B3="Regular Withdrawal",-G2*D3*0.0075,IF(B3="Maintenance Charge",-G2*D3*(0.001/12),G2*D3))</f>
        <v>-215.50989639538929</v>
      </c>
      <c r="F3" s="22">
        <f>IF(OR(B3="Buy Units into the policy",B3="Regular Withdrawal",B3="Maintenance charge"),E3/D3,IF(AND(B3="Balance Reconciled",E3/$E$2&lt;0.04),$F$2,G2))</f>
        <v>-23.510462795818857</v>
      </c>
      <c r="G3" s="21">
        <f>IF(OR(B3="Exits the Policy",B3="Balance Reconciled"),F3,G2+F3)</f>
        <v>3111.2179099800287</v>
      </c>
      <c r="H3" s="22">
        <f t="shared" ref="H3:H16" si="1">G3*D3</f>
        <v>28519.142956323183</v>
      </c>
    </row>
    <row r="4" spans="1:8" x14ac:dyDescent="0.3">
      <c r="A4" s="19">
        <f>IF(Question!$I$44=1,Question!A74,IF(Question!$I$44=2,Question!C74,Question!E74))</f>
        <v>44859</v>
      </c>
      <c r="B4" s="20" t="str">
        <f>IF(Question!$I$44=1,Question!B74,IF(Question!$I$44=2,Question!D74,Question!F74))</f>
        <v>Maintenance charge</v>
      </c>
      <c r="C4" s="20" t="s">
        <v>33</v>
      </c>
      <c r="D4" s="20">
        <f t="shared" si="0"/>
        <v>9.5453978701652993</v>
      </c>
      <c r="E4" s="21">
        <f t="shared" ref="E4:E16" si="2">IF(B4="Regular Withdrawal",-100,IF(B4="Maintenance Charge",-G3*D4*(0.006/12),G3*D4))</f>
        <v>-14.84890640577175</v>
      </c>
      <c r="F4" s="22">
        <f t="shared" ref="F4:F16" si="3">IF(OR(B4="Buy Units into the policy",B4="Regular Withdrawal",B4="Maintenance charge"),E4/D4,IF(AND(B4="Balance Reconciled",E4/$E$2&lt;0.04),$F$2,G3))</f>
        <v>-1.5556089549900143</v>
      </c>
      <c r="G4" s="21">
        <f t="shared" ref="G4:G16" si="4">IF(OR(B4="Exits the Policy",B4="Balance Reconciled"),F4,G3+F4)</f>
        <v>3109.6623010250387</v>
      </c>
      <c r="H4" s="22">
        <f t="shared" si="1"/>
        <v>29682.963905137727</v>
      </c>
    </row>
    <row r="5" spans="1:8" x14ac:dyDescent="0.3">
      <c r="A5" s="19">
        <f>IF(Question!$I$44=1,Question!A75,IF(Question!$I$44=2,Question!C75,Question!E75))</f>
        <v>44866</v>
      </c>
      <c r="B5" s="20" t="str">
        <f>IF(Question!$I$44=1,Question!B75,IF(Question!$I$44=2,Question!D75,Question!F75))</f>
        <v>Regular Withdrawal</v>
      </c>
      <c r="C5" s="20" t="s">
        <v>33</v>
      </c>
      <c r="D5" s="20">
        <f t="shared" si="0"/>
        <v>9.7915559512430619</v>
      </c>
      <c r="E5" s="21">
        <f t="shared" si="2"/>
        <v>-100</v>
      </c>
      <c r="F5" s="22">
        <f t="shared" si="3"/>
        <v>-10.212881435590914</v>
      </c>
      <c r="G5" s="21">
        <f t="shared" si="4"/>
        <v>3099.4494195894476</v>
      </c>
      <c r="H5" s="22">
        <f t="shared" si="1"/>
        <v>30348.43240995791</v>
      </c>
    </row>
    <row r="6" spans="1:8" x14ac:dyDescent="0.3">
      <c r="A6" s="19">
        <f>IF(Question!$I$44=1,Question!A76,IF(Question!$I$44=2,Question!C77,Question!E76))</f>
        <v>44890</v>
      </c>
      <c r="B6" s="20" t="str">
        <f>IF(Question!$I$44=1,Question!B76,IF(Question!$I$44=2,Question!D76,Question!F76))</f>
        <v>Maintenance charge</v>
      </c>
      <c r="C6" s="20" t="s">
        <v>33</v>
      </c>
      <c r="D6" s="20">
        <f t="shared" si="0"/>
        <v>9.1137127349385914</v>
      </c>
      <c r="E6" s="21">
        <f t="shared" si="2"/>
        <v>-14.123745823305187</v>
      </c>
      <c r="F6" s="22">
        <f t="shared" si="3"/>
        <v>-1.5497247097947238</v>
      </c>
      <c r="G6" s="21">
        <f t="shared" si="4"/>
        <v>3097.899694879653</v>
      </c>
      <c r="H6" s="22">
        <f t="shared" si="1"/>
        <v>28233.367900787071</v>
      </c>
    </row>
    <row r="7" spans="1:8" x14ac:dyDescent="0.3">
      <c r="A7" s="19">
        <f>IF(Question!$I$44=1,Question!A77,IF(Question!$I$44=2,Question!C77,Question!E77))</f>
        <v>44896</v>
      </c>
      <c r="B7" s="20" t="str">
        <f>IF(Question!$I$44=1,Question!B77,IF(Question!$I$44=2,Question!D77,Question!F77))</f>
        <v>Regular Withdrawal</v>
      </c>
      <c r="C7" s="20" t="s">
        <v>33</v>
      </c>
      <c r="D7" s="20">
        <f t="shared" si="0"/>
        <v>9.883979849882305</v>
      </c>
      <c r="E7" s="21">
        <f t="shared" si="2"/>
        <v>-100</v>
      </c>
      <c r="F7" s="22">
        <f t="shared" si="3"/>
        <v>-10.117382018053261</v>
      </c>
      <c r="G7" s="21">
        <f t="shared" si="4"/>
        <v>3087.7823128615996</v>
      </c>
      <c r="H7" s="22">
        <f t="shared" si="1"/>
        <v>30519.57816114703</v>
      </c>
    </row>
    <row r="8" spans="1:8" x14ac:dyDescent="0.3">
      <c r="A8" s="19">
        <f>IF(Question!$I$44=1,Question!A78,IF(Question!$I$44=2,Question!C78,Question!E78))</f>
        <v>44920</v>
      </c>
      <c r="B8" s="20" t="str">
        <f>IF(Question!$I$44=1,Question!B78,IF(Question!$I$44=2,Question!D78,Question!F78))</f>
        <v>Maintenance charge</v>
      </c>
      <c r="C8" s="20" t="s">
        <v>33</v>
      </c>
      <c r="D8" s="20">
        <f t="shared" si="0"/>
        <v>9.694407499086914</v>
      </c>
      <c r="E8" s="21">
        <f t="shared" si="2"/>
        <v>-14.967110004676714</v>
      </c>
      <c r="F8" s="22">
        <f t="shared" si="3"/>
        <v>-1.5438911564307998</v>
      </c>
      <c r="G8" s="21">
        <f t="shared" si="4"/>
        <v>3086.238421705169</v>
      </c>
      <c r="H8" s="22">
        <f t="shared" si="1"/>
        <v>29919.25289934875</v>
      </c>
    </row>
    <row r="9" spans="1:8" x14ac:dyDescent="0.3">
      <c r="A9" s="19">
        <f>IF(Question!$I$44=1,Question!A79,IF(Question!$I$44=2,Question!C79,""))</f>
        <v>44926</v>
      </c>
      <c r="B9" s="20" t="str">
        <f>IF(Question!$I$44=1,Question!B79,IF(Question!$I$44=2,Question!D79,Question!F79))</f>
        <v>Balance Reconciled</v>
      </c>
      <c r="C9" s="20" t="s">
        <v>33</v>
      </c>
      <c r="D9" s="20">
        <f t="shared" si="0"/>
        <v>9.6333992836879734</v>
      </c>
      <c r="E9" s="21">
        <f t="shared" si="2"/>
        <v>29730.967000944878</v>
      </c>
      <c r="F9" s="22">
        <f t="shared" si="3"/>
        <v>3086.238421705169</v>
      </c>
      <c r="G9" s="21">
        <f t="shared" si="4"/>
        <v>3086.238421705169</v>
      </c>
      <c r="H9" s="37">
        <f t="shared" si="1"/>
        <v>29730.967000944878</v>
      </c>
    </row>
    <row r="10" spans="1:8" x14ac:dyDescent="0.3">
      <c r="A10" s="19">
        <f>IF(Question!$I$44=1,Question!A80,IF(Question!$I$44=2,Question!C80,""))</f>
        <v>44927</v>
      </c>
      <c r="B10" s="20" t="str">
        <f>IF(Question!$I$44=1,Question!B80,IF(Question!$I$44=2,Question!D80,Question!F80))</f>
        <v>Regular Withdrawal</v>
      </c>
      <c r="C10" s="20" t="s">
        <v>33</v>
      </c>
      <c r="D10" s="20">
        <f t="shared" si="0"/>
        <v>9.9143679754380774</v>
      </c>
      <c r="E10" s="21">
        <f t="shared" si="2"/>
        <v>-100</v>
      </c>
      <c r="F10" s="22">
        <f t="shared" si="3"/>
        <v>-10.08637164242246</v>
      </c>
      <c r="G10" s="21">
        <f t="shared" si="4"/>
        <v>3076.1520500627466</v>
      </c>
      <c r="H10" s="22">
        <f t="shared" si="1"/>
        <v>30498.103372720285</v>
      </c>
    </row>
    <row r="11" spans="1:8" x14ac:dyDescent="0.3">
      <c r="A11" s="19">
        <f>IF(Question!$I$44=1,Question!A81,IF(Question!$I$44=2,Question!C81,""))</f>
        <v>44951</v>
      </c>
      <c r="B11" s="20" t="str">
        <f>IF(Question!$I$44=1,Question!B81,IF(Question!$I$44=2,Question!D81,Question!F81))</f>
        <v>Maintenance charge</v>
      </c>
      <c r="C11" s="20" t="s">
        <v>33</v>
      </c>
      <c r="D11" s="20">
        <f t="shared" si="0"/>
        <v>9.2852808006699767</v>
      </c>
      <c r="E11" s="21">
        <f t="shared" si="2"/>
        <v>-14.281467785194605</v>
      </c>
      <c r="F11" s="22">
        <f t="shared" si="3"/>
        <v>-1.5380760250313734</v>
      </c>
      <c r="G11" s="21">
        <f t="shared" si="4"/>
        <v>3074.6139740377153</v>
      </c>
      <c r="H11" s="22">
        <f t="shared" si="1"/>
        <v>28548.654102604014</v>
      </c>
    </row>
    <row r="12" spans="1:8" x14ac:dyDescent="0.3">
      <c r="A12" s="19">
        <f>IF(Question!$I$44=1,Question!A82,IF(Question!$I$44=2,Question!C82,""))</f>
        <v>44958</v>
      </c>
      <c r="B12" s="20" t="str">
        <f>IF(Question!$I$44=1,Question!B82,IF(Question!$I$44=2,Question!D82,Question!F82))</f>
        <v>Regular Withdrawal</v>
      </c>
      <c r="C12" s="20" t="s">
        <v>33</v>
      </c>
      <c r="D12" s="20">
        <f t="shared" si="0"/>
        <v>9.8221639652503736</v>
      </c>
      <c r="E12" s="21">
        <f t="shared" si="2"/>
        <v>-100</v>
      </c>
      <c r="F12" s="22">
        <f t="shared" si="3"/>
        <v>-10.181055860377397</v>
      </c>
      <c r="G12" s="21">
        <f t="shared" si="4"/>
        <v>3064.4329181773378</v>
      </c>
      <c r="H12" s="22">
        <f t="shared" si="1"/>
        <v>30099.362582848495</v>
      </c>
    </row>
    <row r="13" spans="1:8" x14ac:dyDescent="0.3">
      <c r="A13" s="19">
        <f>IF(Question!$I$44=1,Question!A83,"")</f>
        <v>44982</v>
      </c>
      <c r="B13" s="20" t="str">
        <f>IF(Question!$I$44=1,Question!B83,IF(Question!$I$44=2,Question!D83,Question!F83))</f>
        <v>Maintenance charge</v>
      </c>
      <c r="C13" s="20" t="s">
        <v>33</v>
      </c>
      <c r="D13" s="20">
        <f t="shared" si="0"/>
        <v>9.1716388503435926</v>
      </c>
      <c r="E13" s="21">
        <f t="shared" si="2"/>
        <v>-14.05293600331353</v>
      </c>
      <c r="F13" s="22">
        <f t="shared" si="3"/>
        <v>-1.5322164590886689</v>
      </c>
      <c r="G13" s="21">
        <f t="shared" si="4"/>
        <v>3062.9007017182489</v>
      </c>
      <c r="H13" s="22">
        <f t="shared" si="1"/>
        <v>28091.819070623744</v>
      </c>
    </row>
    <row r="14" spans="1:8" x14ac:dyDescent="0.3">
      <c r="A14" s="19">
        <f>IF(Question!$I$44=1,Question!A84,"")</f>
        <v>44986</v>
      </c>
      <c r="B14" s="20" t="str">
        <f>IF(Question!$I$44=1,Question!B84,IF(Question!$I$44=2,Question!D84,Question!F84))</f>
        <v>Regular Withdrawal</v>
      </c>
      <c r="C14" s="20" t="s">
        <v>33</v>
      </c>
      <c r="D14" s="20">
        <f t="shared" si="0"/>
        <v>9.1057776501662424</v>
      </c>
      <c r="E14" s="21">
        <f t="shared" si="2"/>
        <v>-100</v>
      </c>
      <c r="F14" s="22">
        <f t="shared" si="3"/>
        <v>-10.98203842020833</v>
      </c>
      <c r="G14" s="21">
        <f t="shared" si="4"/>
        <v>3051.9186632980404</v>
      </c>
      <c r="H14" s="22">
        <f t="shared" si="1"/>
        <v>27790.092754384532</v>
      </c>
    </row>
    <row r="15" spans="1:8" x14ac:dyDescent="0.3">
      <c r="A15" s="19">
        <f>IF(Question!$I$44=1,Question!A85,"")</f>
        <v>45010</v>
      </c>
      <c r="B15" s="20" t="str">
        <f>IF(Question!$I$44=1,Question!B85,IF(Question!$I$44=2,Question!D85,Question!F85))</f>
        <v>Maintenance charge</v>
      </c>
      <c r="C15" s="20" t="s">
        <v>33</v>
      </c>
      <c r="D15" s="20">
        <f t="shared" si="0"/>
        <v>9.2564087689338521</v>
      </c>
      <c r="E15" s="21">
        <f t="shared" si="2"/>
        <v>-14.124903338512432</v>
      </c>
      <c r="F15" s="22">
        <f t="shared" si="3"/>
        <v>-1.5259593316490203</v>
      </c>
      <c r="G15" s="21">
        <f t="shared" si="4"/>
        <v>3050.3927039663913</v>
      </c>
      <c r="H15" s="22">
        <f t="shared" si="1"/>
        <v>28235.681773686349</v>
      </c>
    </row>
    <row r="16" spans="1:8" x14ac:dyDescent="0.3">
      <c r="A16" s="19">
        <f>IF(Question!$I$44=1,Question!A86,"")</f>
        <v>45016</v>
      </c>
      <c r="B16" s="20" t="str">
        <f>IF(Question!$I$44=1,Question!B86,IF(Question!$I$44=2,Question!D86,Question!F86))</f>
        <v>Exits the Policy</v>
      </c>
      <c r="C16" s="20" t="s">
        <v>33</v>
      </c>
      <c r="D16" s="20">
        <f t="shared" si="0"/>
        <v>9.6166575571604458</v>
      </c>
      <c r="E16" s="21">
        <f t="shared" si="2"/>
        <v>29334.582048905482</v>
      </c>
      <c r="F16" s="22">
        <f t="shared" si="3"/>
        <v>3050.3927039663913</v>
      </c>
      <c r="G16" s="21">
        <f t="shared" si="4"/>
        <v>3050.3927039663913</v>
      </c>
      <c r="H16" s="22">
        <f t="shared" si="1"/>
        <v>29334.582048905482</v>
      </c>
    </row>
    <row r="20" spans="8:8" x14ac:dyDescent="0.3">
      <c r="H20" s="17"/>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9"/>
  <sheetViews>
    <sheetView workbookViewId="0">
      <selection activeCell="E4" sqref="E4"/>
    </sheetView>
  </sheetViews>
  <sheetFormatPr defaultRowHeight="14.4" x14ac:dyDescent="0.3"/>
  <cols>
    <col min="1" max="1" width="19.44140625" bestFit="1" customWidth="1"/>
    <col min="2" max="2" width="45.44140625" bestFit="1" customWidth="1"/>
    <col min="5" max="5" width="41.44140625" bestFit="1" customWidth="1"/>
  </cols>
  <sheetData>
    <row r="1" spans="1:5" x14ac:dyDescent="0.3">
      <c r="A1" s="26" t="s">
        <v>57</v>
      </c>
      <c r="B1" s="14" t="s">
        <v>49</v>
      </c>
      <c r="E1" s="27" t="s">
        <v>71</v>
      </c>
    </row>
    <row r="2" spans="1:5" x14ac:dyDescent="0.3">
      <c r="A2" t="s">
        <v>31</v>
      </c>
    </row>
    <row r="3" spans="1:5" x14ac:dyDescent="0.3">
      <c r="B3" t="s">
        <v>50</v>
      </c>
      <c r="E3" t="s">
        <v>72</v>
      </c>
    </row>
    <row r="4" spans="1:5" x14ac:dyDescent="0.3">
      <c r="B4" t="s">
        <v>51</v>
      </c>
    </row>
    <row r="5" spans="1:5" x14ac:dyDescent="0.3">
      <c r="B5" t="s">
        <v>54</v>
      </c>
    </row>
    <row r="6" spans="1:5" x14ac:dyDescent="0.3">
      <c r="A6" t="s">
        <v>58</v>
      </c>
    </row>
    <row r="7" spans="1:5" x14ac:dyDescent="0.3">
      <c r="B7" t="s">
        <v>59</v>
      </c>
    </row>
    <row r="8" spans="1:5" x14ac:dyDescent="0.3">
      <c r="A8" t="s">
        <v>60</v>
      </c>
    </row>
    <row r="9" spans="1:5" x14ac:dyDescent="0.3">
      <c r="B9" t="s">
        <v>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Question</vt:lpstr>
      <vt:lpstr>Example</vt:lpstr>
      <vt:lpstr>Price</vt:lpstr>
      <vt:lpstr>Equity Calculation</vt:lpstr>
      <vt:lpstr>Debt Calculation</vt:lpstr>
      <vt:lpstr>Steps &amp; Automation</vt:lpstr>
      <vt:lpstr>Debt</vt:lpstr>
      <vt:lpstr>Debt_Calc</vt:lpstr>
      <vt:lpstr>Equity</vt:lpstr>
      <vt:lpstr>Equity_Calc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PRABHAT AGARWAL</dc:creator>
  <cp:keywords/>
  <dc:description/>
  <cp:lastModifiedBy>Yath G</cp:lastModifiedBy>
  <cp:revision/>
  <dcterms:created xsi:type="dcterms:W3CDTF">2023-06-03T07:45:22Z</dcterms:created>
  <dcterms:modified xsi:type="dcterms:W3CDTF">2024-04-20T09:58:47Z</dcterms:modified>
  <cp:category/>
  <cp:contentStatus/>
</cp:coreProperties>
</file>