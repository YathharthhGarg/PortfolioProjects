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4"/>
  </bookViews>
  <sheets>
    <sheet name="Illustration Calc" sheetId="1" r:id="rId1"/>
    <sheet name="Plan Calc" sheetId="2" r:id="rId2"/>
    <sheet name="Block of Business" sheetId="3" r:id="rId3"/>
    <sheet name="All Payments" sheetId="4" r:id="rId4"/>
    <sheet name="Summary" sheetId="5" r:id="rId5"/>
    <sheet name="Graphs" sheetId="6" r:id="rId6"/>
  </sheets>
  <definedNames>
    <definedName name="_xlnm._FilterDatabase" localSheetId="2" hidden="1">'Block of Business'!$A$1:$E$101</definedName>
    <definedName name="Policy">'Plan Calc'!$G$1:$M$74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" i="5" l="1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G5" i="5"/>
  <c r="H5" i="5"/>
  <c r="I5" i="5"/>
  <c r="J5" i="5"/>
  <c r="K5" i="5"/>
  <c r="L5" i="5"/>
  <c r="F5" i="5"/>
  <c r="C11" i="5"/>
  <c r="C10" i="5"/>
  <c r="C9" i="5"/>
  <c r="C8" i="5"/>
  <c r="C7" i="5"/>
  <c r="C6" i="5"/>
  <c r="C5" i="5"/>
  <c r="C12" i="5" l="1"/>
  <c r="BJ106" i="4" l="1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BE106" i="4"/>
  <c r="BF106" i="4"/>
  <c r="BG106" i="4"/>
  <c r="BH106" i="4"/>
  <c r="BI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B106" i="4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B17" i="1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2" i="2"/>
  <c r="B9" i="2"/>
  <c r="I13" i="2" s="1"/>
  <c r="B6" i="2"/>
  <c r="D73" i="2"/>
  <c r="D74" i="2" s="1"/>
  <c r="D71" i="2"/>
  <c r="D72" i="2" s="1"/>
  <c r="D67" i="2"/>
  <c r="D68" i="2" s="1"/>
  <c r="D69" i="2" s="1"/>
  <c r="D70" i="2" s="1"/>
  <c r="D60" i="2"/>
  <c r="D61" i="2" s="1"/>
  <c r="D62" i="2" s="1"/>
  <c r="D63" i="2" s="1"/>
  <c r="D64" i="2" s="1"/>
  <c r="D65" i="2" s="1"/>
  <c r="D66" i="2" s="1"/>
  <c r="D50" i="2"/>
  <c r="D51" i="2" s="1"/>
  <c r="D52" i="2" s="1"/>
  <c r="D53" i="2" s="1"/>
  <c r="D54" i="2" s="1"/>
  <c r="D55" i="2" s="1"/>
  <c r="D56" i="2" s="1"/>
  <c r="D57" i="2" s="1"/>
  <c r="D58" i="2" s="1"/>
  <c r="D59" i="2" s="1"/>
  <c r="D46" i="2"/>
  <c r="D47" i="2" s="1"/>
  <c r="D48" i="2" s="1"/>
  <c r="D49" i="2" s="1"/>
  <c r="D39" i="2"/>
  <c r="D40" i="2" s="1"/>
  <c r="D41" i="2" s="1"/>
  <c r="D42" i="2" s="1"/>
  <c r="D43" i="2" s="1"/>
  <c r="D44" i="2" s="1"/>
  <c r="D45" i="2" s="1"/>
  <c r="D29" i="2"/>
  <c r="D30" i="2" s="1"/>
  <c r="D31" i="2" s="1"/>
  <c r="D32" i="2" s="1"/>
  <c r="D33" i="2" s="1"/>
  <c r="D34" i="2" s="1"/>
  <c r="D35" i="2" s="1"/>
  <c r="D36" i="2" s="1"/>
  <c r="D37" i="2" s="1"/>
  <c r="D38" i="2" s="1"/>
  <c r="D17" i="2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10" i="2"/>
  <c r="D11" i="2" s="1"/>
  <c r="D12" i="2" s="1"/>
  <c r="D13" i="2" s="1"/>
  <c r="D14" i="2" s="1"/>
  <c r="D15" i="2" s="1"/>
  <c r="D16" i="2" s="1"/>
  <c r="D5" i="2"/>
  <c r="D6" i="2" s="1"/>
  <c r="D7" i="2" s="1"/>
  <c r="D8" i="2" s="1"/>
  <c r="D9" i="2" s="1"/>
  <c r="D4" i="2"/>
  <c r="D3" i="2"/>
  <c r="D2" i="2"/>
  <c r="B3" i="2"/>
  <c r="H11" i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D4" i="1"/>
  <c r="I58" i="2" l="1"/>
  <c r="I19" i="2"/>
  <c r="I36" i="2"/>
  <c r="I57" i="2"/>
  <c r="I35" i="2"/>
  <c r="I18" i="2"/>
  <c r="I56" i="2"/>
  <c r="I34" i="2"/>
  <c r="I12" i="2"/>
  <c r="I72" i="2"/>
  <c r="I55" i="2"/>
  <c r="I33" i="2"/>
  <c r="I11" i="2"/>
  <c r="I71" i="2"/>
  <c r="I54" i="2"/>
  <c r="I32" i="2"/>
  <c r="I10" i="2"/>
  <c r="I70" i="2"/>
  <c r="I48" i="2"/>
  <c r="I31" i="2"/>
  <c r="I9" i="2"/>
  <c r="I69" i="2"/>
  <c r="I47" i="2"/>
  <c r="I30" i="2"/>
  <c r="I8" i="2"/>
  <c r="I68" i="2"/>
  <c r="I46" i="2"/>
  <c r="I24" i="2"/>
  <c r="I7" i="2"/>
  <c r="I67" i="2"/>
  <c r="I45" i="2"/>
  <c r="I23" i="2"/>
  <c r="I6" i="2"/>
  <c r="M3" i="2"/>
  <c r="I66" i="2"/>
  <c r="I44" i="2"/>
  <c r="I22" i="2"/>
  <c r="I60" i="2"/>
  <c r="I43" i="2"/>
  <c r="I21" i="2"/>
  <c r="I59" i="2"/>
  <c r="I42" i="2"/>
  <c r="I20" i="2"/>
  <c r="I53" i="2"/>
  <c r="I29" i="2"/>
  <c r="I5" i="2"/>
  <c r="I64" i="2"/>
  <c r="I52" i="2"/>
  <c r="I40" i="2"/>
  <c r="I28" i="2"/>
  <c r="I16" i="2"/>
  <c r="I4" i="2"/>
  <c r="I2" i="2"/>
  <c r="I63" i="2"/>
  <c r="I51" i="2"/>
  <c r="I39" i="2"/>
  <c r="I27" i="2"/>
  <c r="I15" i="2"/>
  <c r="I3" i="2"/>
  <c r="I65" i="2"/>
  <c r="I41" i="2"/>
  <c r="I17" i="2"/>
  <c r="I74" i="2"/>
  <c r="I62" i="2"/>
  <c r="I50" i="2"/>
  <c r="I38" i="2"/>
  <c r="I26" i="2"/>
  <c r="I14" i="2"/>
  <c r="I73" i="2"/>
  <c r="I61" i="2"/>
  <c r="I49" i="2"/>
  <c r="I37" i="2"/>
  <c r="I25" i="2"/>
  <c r="G21" i="2"/>
  <c r="G29" i="2"/>
  <c r="G9" i="2"/>
  <c r="G67" i="2"/>
  <c r="G55" i="2"/>
  <c r="G43" i="2"/>
  <c r="K36" i="2"/>
  <c r="L49" i="2"/>
  <c r="L13" i="2"/>
  <c r="M62" i="2"/>
  <c r="M38" i="2"/>
  <c r="G17" i="2"/>
  <c r="G5" i="2"/>
  <c r="G25" i="2"/>
  <c r="G63" i="2"/>
  <c r="G51" i="2"/>
  <c r="G39" i="2"/>
  <c r="K71" i="2"/>
  <c r="K59" i="2"/>
  <c r="K47" i="2"/>
  <c r="K35" i="2"/>
  <c r="K23" i="2"/>
  <c r="K11" i="2"/>
  <c r="L72" i="2"/>
  <c r="L60" i="2"/>
  <c r="L48" i="2"/>
  <c r="L36" i="2"/>
  <c r="L24" i="2"/>
  <c r="L12" i="2"/>
  <c r="M73" i="2"/>
  <c r="M61" i="2"/>
  <c r="M49" i="2"/>
  <c r="M37" i="2"/>
  <c r="M25" i="2"/>
  <c r="M13" i="2"/>
  <c r="K48" i="2"/>
  <c r="G18" i="2"/>
  <c r="G62" i="2"/>
  <c r="K58" i="2"/>
  <c r="K22" i="2"/>
  <c r="L59" i="2"/>
  <c r="L23" i="2"/>
  <c r="M60" i="2"/>
  <c r="M24" i="2"/>
  <c r="K69" i="2"/>
  <c r="K45" i="2"/>
  <c r="K33" i="2"/>
  <c r="K9" i="2"/>
  <c r="L70" i="2"/>
  <c r="L58" i="2"/>
  <c r="L46" i="2"/>
  <c r="L34" i="2"/>
  <c r="L22" i="2"/>
  <c r="L10" i="2"/>
  <c r="M71" i="2"/>
  <c r="M59" i="2"/>
  <c r="M47" i="2"/>
  <c r="M35" i="2"/>
  <c r="M23" i="2"/>
  <c r="M11" i="2"/>
  <c r="K2" i="2"/>
  <c r="G26" i="2"/>
  <c r="K72" i="2"/>
  <c r="L61" i="2"/>
  <c r="M26" i="2"/>
  <c r="G50" i="2"/>
  <c r="K46" i="2"/>
  <c r="K10" i="2"/>
  <c r="L47" i="2"/>
  <c r="L11" i="2"/>
  <c r="M36" i="2"/>
  <c r="G15" i="2"/>
  <c r="G73" i="2"/>
  <c r="G49" i="2"/>
  <c r="K21" i="2"/>
  <c r="G14" i="2"/>
  <c r="G34" i="2"/>
  <c r="G72" i="2"/>
  <c r="G60" i="2"/>
  <c r="G48" i="2"/>
  <c r="G36" i="2"/>
  <c r="K68" i="2"/>
  <c r="K56" i="2"/>
  <c r="K44" i="2"/>
  <c r="K32" i="2"/>
  <c r="K20" i="2"/>
  <c r="K8" i="2"/>
  <c r="L69" i="2"/>
  <c r="L57" i="2"/>
  <c r="L45" i="2"/>
  <c r="L33" i="2"/>
  <c r="L21" i="2"/>
  <c r="L9" i="2"/>
  <c r="M70" i="2"/>
  <c r="M58" i="2"/>
  <c r="F60" i="1" s="1"/>
  <c r="M46" i="2"/>
  <c r="M34" i="2"/>
  <c r="M22" i="2"/>
  <c r="M10" i="2"/>
  <c r="G52" i="2"/>
  <c r="K60" i="2"/>
  <c r="L73" i="2"/>
  <c r="L37" i="2"/>
  <c r="M74" i="2"/>
  <c r="G74" i="2"/>
  <c r="G38" i="2"/>
  <c r="K70" i="2"/>
  <c r="K34" i="2"/>
  <c r="L71" i="2"/>
  <c r="L35" i="2"/>
  <c r="M72" i="2"/>
  <c r="M48" i="2"/>
  <c r="M12" i="2"/>
  <c r="G3" i="2"/>
  <c r="G61" i="2"/>
  <c r="G37" i="2"/>
  <c r="K57" i="2"/>
  <c r="G2" i="2"/>
  <c r="G13" i="2"/>
  <c r="G33" i="2"/>
  <c r="G71" i="2"/>
  <c r="G59" i="2"/>
  <c r="G47" i="2"/>
  <c r="G35" i="2"/>
  <c r="K67" i="2"/>
  <c r="K55" i="2"/>
  <c r="K43" i="2"/>
  <c r="K31" i="2"/>
  <c r="K19" i="2"/>
  <c r="K7" i="2"/>
  <c r="L68" i="2"/>
  <c r="L56" i="2"/>
  <c r="L44" i="2"/>
  <c r="L32" i="2"/>
  <c r="L20" i="2"/>
  <c r="L8" i="2"/>
  <c r="M69" i="2"/>
  <c r="M57" i="2"/>
  <c r="M45" i="2"/>
  <c r="M33" i="2"/>
  <c r="M21" i="2"/>
  <c r="M9" i="2"/>
  <c r="G64" i="2"/>
  <c r="K24" i="2"/>
  <c r="M50" i="2"/>
  <c r="G16" i="2"/>
  <c r="G24" i="2"/>
  <c r="G32" i="2"/>
  <c r="G58" i="2"/>
  <c r="K54" i="2"/>
  <c r="K18" i="2"/>
  <c r="L67" i="2"/>
  <c r="L43" i="2"/>
  <c r="L19" i="2"/>
  <c r="L7" i="2"/>
  <c r="M56" i="2"/>
  <c r="M20" i="2"/>
  <c r="G23" i="2"/>
  <c r="G11" i="2"/>
  <c r="G31" i="2"/>
  <c r="G69" i="2"/>
  <c r="G57" i="2"/>
  <c r="G45" i="2"/>
  <c r="K65" i="2"/>
  <c r="K53" i="2"/>
  <c r="K41" i="2"/>
  <c r="K29" i="2"/>
  <c r="K17" i="2"/>
  <c r="K5" i="2"/>
  <c r="L66" i="2"/>
  <c r="L54" i="2"/>
  <c r="L42" i="2"/>
  <c r="L30" i="2"/>
  <c r="L18" i="2"/>
  <c r="L6" i="2"/>
  <c r="M67" i="2"/>
  <c r="M55" i="2"/>
  <c r="M43" i="2"/>
  <c r="M31" i="2"/>
  <c r="M19" i="2"/>
  <c r="M7" i="2"/>
  <c r="K63" i="2"/>
  <c r="G6" i="2"/>
  <c r="G40" i="2"/>
  <c r="K12" i="2"/>
  <c r="L25" i="2"/>
  <c r="M14" i="2"/>
  <c r="G4" i="2"/>
  <c r="G12" i="2"/>
  <c r="G70" i="2"/>
  <c r="G46" i="2"/>
  <c r="K66" i="2"/>
  <c r="K42" i="2"/>
  <c r="K30" i="2"/>
  <c r="K6" i="2"/>
  <c r="L55" i="2"/>
  <c r="L31" i="2"/>
  <c r="M68" i="2"/>
  <c r="M44" i="2"/>
  <c r="M32" i="2"/>
  <c r="M8" i="2"/>
  <c r="G22" i="2"/>
  <c r="G10" i="2"/>
  <c r="G30" i="2"/>
  <c r="G68" i="2"/>
  <c r="G56" i="2"/>
  <c r="G44" i="2"/>
  <c r="K64" i="2"/>
  <c r="K52" i="2"/>
  <c r="K40" i="2"/>
  <c r="K28" i="2"/>
  <c r="K16" i="2"/>
  <c r="K4" i="2"/>
  <c r="L65" i="2"/>
  <c r="L53" i="2"/>
  <c r="L41" i="2"/>
  <c r="L29" i="2"/>
  <c r="L17" i="2"/>
  <c r="L5" i="2"/>
  <c r="M66" i="2"/>
  <c r="M54" i="2"/>
  <c r="M42" i="2"/>
  <c r="M30" i="2"/>
  <c r="M18" i="2"/>
  <c r="M6" i="2"/>
  <c r="K51" i="2"/>
  <c r="K39" i="2"/>
  <c r="K27" i="2"/>
  <c r="K15" i="2"/>
  <c r="K3" i="2"/>
  <c r="L64" i="2"/>
  <c r="L52" i="2"/>
  <c r="L40" i="2"/>
  <c r="L28" i="2"/>
  <c r="L16" i="2"/>
  <c r="L4" i="2"/>
  <c r="M65" i="2"/>
  <c r="M53" i="2"/>
  <c r="M41" i="2"/>
  <c r="F43" i="1" s="1"/>
  <c r="M29" i="2"/>
  <c r="M17" i="2"/>
  <c r="M5" i="2"/>
  <c r="G20" i="2"/>
  <c r="G8" i="2"/>
  <c r="G28" i="2"/>
  <c r="G66" i="2"/>
  <c r="G54" i="2"/>
  <c r="G42" i="2"/>
  <c r="K74" i="2"/>
  <c r="K62" i="2"/>
  <c r="K50" i="2"/>
  <c r="K38" i="2"/>
  <c r="K26" i="2"/>
  <c r="K14" i="2"/>
  <c r="L2" i="2"/>
  <c r="L63" i="2"/>
  <c r="L51" i="2"/>
  <c r="L39" i="2"/>
  <c r="L27" i="2"/>
  <c r="L15" i="2"/>
  <c r="L3" i="2"/>
  <c r="M64" i="2"/>
  <c r="M52" i="2"/>
  <c r="M40" i="2"/>
  <c r="M28" i="2"/>
  <c r="M16" i="2"/>
  <c r="M4" i="2"/>
  <c r="G19" i="2"/>
  <c r="G7" i="2"/>
  <c r="G27" i="2"/>
  <c r="G65" i="2"/>
  <c r="G53" i="2"/>
  <c r="G41" i="2"/>
  <c r="K73" i="2"/>
  <c r="K61" i="2"/>
  <c r="K49" i="2"/>
  <c r="K37" i="2"/>
  <c r="K25" i="2"/>
  <c r="K13" i="2"/>
  <c r="L74" i="2"/>
  <c r="L62" i="2"/>
  <c r="L50" i="2"/>
  <c r="L38" i="2"/>
  <c r="L26" i="2"/>
  <c r="L14" i="2"/>
  <c r="M2" i="2"/>
  <c r="M63" i="2"/>
  <c r="F65" i="1" s="1"/>
  <c r="M51" i="2"/>
  <c r="M39" i="2"/>
  <c r="M27" i="2"/>
  <c r="M15" i="2"/>
  <c r="D5" i="1"/>
  <c r="F33" i="1" l="1"/>
  <c r="F38" i="1"/>
  <c r="F25" i="1"/>
  <c r="F73" i="1"/>
  <c r="F37" i="1"/>
  <c r="F45" i="1"/>
  <c r="F69" i="1"/>
  <c r="F64" i="1"/>
  <c r="F72" i="1"/>
  <c r="F70" i="1"/>
  <c r="F19" i="1"/>
  <c r="F55" i="1"/>
  <c r="F20" i="1"/>
  <c r="F61" i="1"/>
  <c r="F59" i="1"/>
  <c r="F18" i="1"/>
  <c r="F66" i="1"/>
  <c r="F62" i="1"/>
  <c r="F56" i="1"/>
  <c r="F6" i="1"/>
  <c r="F30" i="1"/>
  <c r="F21" i="1"/>
  <c r="F48" i="1"/>
  <c r="F13" i="1"/>
  <c r="F67" i="1"/>
  <c r="F57" i="1"/>
  <c r="F28" i="1"/>
  <c r="F17" i="1"/>
  <c r="F12" i="1"/>
  <c r="F29" i="1"/>
  <c r="F74" i="1"/>
  <c r="F5" i="1"/>
  <c r="F41" i="1"/>
  <c r="F9" i="1"/>
  <c r="F52" i="1"/>
  <c r="F36" i="1"/>
  <c r="F63" i="1"/>
  <c r="F71" i="1"/>
  <c r="F68" i="1"/>
  <c r="F50" i="1"/>
  <c r="F7" i="1"/>
  <c r="F53" i="1"/>
  <c r="F31" i="1"/>
  <c r="F58" i="1"/>
  <c r="F42" i="1"/>
  <c r="F49" i="1"/>
  <c r="F24" i="1"/>
  <c r="F54" i="1"/>
  <c r="F40" i="1"/>
  <c r="F11" i="1"/>
  <c r="F8" i="1"/>
  <c r="F39" i="1"/>
  <c r="F34" i="1"/>
  <c r="F35" i="1"/>
  <c r="F26" i="1"/>
  <c r="F51" i="1"/>
  <c r="F14" i="1"/>
  <c r="F32" i="1"/>
  <c r="F16" i="1"/>
  <c r="F47" i="1"/>
  <c r="F22" i="1"/>
  <c r="F15" i="1"/>
  <c r="F4" i="1"/>
  <c r="F27" i="1"/>
  <c r="F10" i="1"/>
  <c r="F23" i="1"/>
  <c r="F46" i="1"/>
  <c r="F44" i="1"/>
  <c r="D6" i="1"/>
  <c r="D7" i="1" s="1"/>
  <c r="D8" i="1" s="1"/>
  <c r="D9" i="1" s="1"/>
  <c r="H8" i="1" l="1"/>
  <c r="H5" i="1"/>
  <c r="D10" i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</calcChain>
</file>

<file path=xl/sharedStrings.xml><?xml version="1.0" encoding="utf-8"?>
<sst xmlns="http://schemas.openxmlformats.org/spreadsheetml/2006/main" count="237" uniqueCount="129">
  <si>
    <t>Current age</t>
  </si>
  <si>
    <t>Policy plan</t>
  </si>
  <si>
    <t>Age</t>
  </si>
  <si>
    <t>Year</t>
  </si>
  <si>
    <t>Exp. Annuity Payments</t>
  </si>
  <si>
    <t>Total Payment Years</t>
  </si>
  <si>
    <t>Total Payment</t>
  </si>
  <si>
    <t>Client's age must be 40+</t>
  </si>
  <si>
    <t>Age payment begins</t>
  </si>
  <si>
    <t>Type in plan no. 1 to 5</t>
  </si>
  <si>
    <t>Last Payment Age</t>
  </si>
  <si>
    <t>Current Age of client</t>
  </si>
  <si>
    <t>Age Payment Begins</t>
  </si>
  <si>
    <t>Selected Years of Payment</t>
  </si>
  <si>
    <t>Selectable Payment Years</t>
  </si>
  <si>
    <t>For Plans 1, 5, 6,&amp; 7</t>
  </si>
  <si>
    <t>Fixed Payment Years</t>
  </si>
  <si>
    <t xml:space="preserve">For Plans 2, 3, &amp; 4 </t>
  </si>
  <si>
    <t>Client Name</t>
  </si>
  <si>
    <t>Plan #</t>
  </si>
  <si>
    <t>Current Age</t>
  </si>
  <si>
    <t>Age Payments Begin</t>
  </si>
  <si>
    <t>Years of Payment</t>
  </si>
  <si>
    <t>Client # 1</t>
  </si>
  <si>
    <t>Client # 2</t>
  </si>
  <si>
    <t>Client # 3</t>
  </si>
  <si>
    <t>Client # 4</t>
  </si>
  <si>
    <t>Client # 5</t>
  </si>
  <si>
    <t>Client # 6</t>
  </si>
  <si>
    <t>Client # 7</t>
  </si>
  <si>
    <t>Client # 8</t>
  </si>
  <si>
    <t>Client # 9</t>
  </si>
  <si>
    <t>Client # 10</t>
  </si>
  <si>
    <t>Client # 11</t>
  </si>
  <si>
    <t>Client # 12</t>
  </si>
  <si>
    <t>Client # 13</t>
  </si>
  <si>
    <t>Client # 14</t>
  </si>
  <si>
    <t>Client # 15</t>
  </si>
  <si>
    <t>Client # 16</t>
  </si>
  <si>
    <t>Client # 17</t>
  </si>
  <si>
    <t>Client # 18</t>
  </si>
  <si>
    <t>Client # 19</t>
  </si>
  <si>
    <t>Client # 20</t>
  </si>
  <si>
    <t>Client # 21</t>
  </si>
  <si>
    <t>Client # 22</t>
  </si>
  <si>
    <t>Client # 23</t>
  </si>
  <si>
    <t>Client # 24</t>
  </si>
  <si>
    <t>Client # 25</t>
  </si>
  <si>
    <t>Client # 26</t>
  </si>
  <si>
    <t>Client # 27</t>
  </si>
  <si>
    <t>Client # 28</t>
  </si>
  <si>
    <t>Client # 29</t>
  </si>
  <si>
    <t>Client # 30</t>
  </si>
  <si>
    <t>Client # 31</t>
  </si>
  <si>
    <t>Client # 32</t>
  </si>
  <si>
    <t>Client # 33</t>
  </si>
  <si>
    <t>Client # 34</t>
  </si>
  <si>
    <t>Client # 35</t>
  </si>
  <si>
    <t>Client # 36</t>
  </si>
  <si>
    <t>Client # 37</t>
  </si>
  <si>
    <t>Client # 38</t>
  </si>
  <si>
    <t>Client # 39</t>
  </si>
  <si>
    <t>Client # 40</t>
  </si>
  <si>
    <t>Client # 41</t>
  </si>
  <si>
    <t>Client # 42</t>
  </si>
  <si>
    <t>Client # 43</t>
  </si>
  <si>
    <t>Client # 44</t>
  </si>
  <si>
    <t>Client # 45</t>
  </si>
  <si>
    <t>Client # 46</t>
  </si>
  <si>
    <t>Client # 47</t>
  </si>
  <si>
    <t>Client # 48</t>
  </si>
  <si>
    <t>Client # 49</t>
  </si>
  <si>
    <t>Client # 50</t>
  </si>
  <si>
    <t>Client # 51</t>
  </si>
  <si>
    <t>Client # 52</t>
  </si>
  <si>
    <t>Client # 53</t>
  </si>
  <si>
    <t>Client # 54</t>
  </si>
  <si>
    <t>Client # 55</t>
  </si>
  <si>
    <t>Client # 56</t>
  </si>
  <si>
    <t>Client # 57</t>
  </si>
  <si>
    <t>Client # 58</t>
  </si>
  <si>
    <t>Client # 59</t>
  </si>
  <si>
    <t>Client # 60</t>
  </si>
  <si>
    <t>Client # 61</t>
  </si>
  <si>
    <t>Client # 62</t>
  </si>
  <si>
    <t>Client # 63</t>
  </si>
  <si>
    <t>Client # 64</t>
  </si>
  <si>
    <t>Client # 65</t>
  </si>
  <si>
    <t>Client # 66</t>
  </si>
  <si>
    <t>Client # 67</t>
  </si>
  <si>
    <t>Client # 68</t>
  </si>
  <si>
    <t>Client # 69</t>
  </si>
  <si>
    <t>Client # 70</t>
  </si>
  <si>
    <t>Client # 71</t>
  </si>
  <si>
    <t>Client # 72</t>
  </si>
  <si>
    <t>Client # 73</t>
  </si>
  <si>
    <t>Client # 74</t>
  </si>
  <si>
    <t>Client # 75</t>
  </si>
  <si>
    <t>Client # 76</t>
  </si>
  <si>
    <t>Client # 77</t>
  </si>
  <si>
    <t>Client # 78</t>
  </si>
  <si>
    <t>Client # 79</t>
  </si>
  <si>
    <t>Client # 80</t>
  </si>
  <si>
    <t>Client # 81</t>
  </si>
  <si>
    <t>Client # 82</t>
  </si>
  <si>
    <t>Client # 83</t>
  </si>
  <si>
    <t>Client # 84</t>
  </si>
  <si>
    <t>Client # 85</t>
  </si>
  <si>
    <t>Client # 86</t>
  </si>
  <si>
    <t>Client # 87</t>
  </si>
  <si>
    <t>Client # 88</t>
  </si>
  <si>
    <t>Client # 89</t>
  </si>
  <si>
    <t>Client # 90</t>
  </si>
  <si>
    <t>Client # 91</t>
  </si>
  <si>
    <t>Client # 92</t>
  </si>
  <si>
    <t>Client # 93</t>
  </si>
  <si>
    <t>Client # 94</t>
  </si>
  <si>
    <t>Client # 95</t>
  </si>
  <si>
    <t>Client # 96</t>
  </si>
  <si>
    <t>Client # 97</t>
  </si>
  <si>
    <t>Client # 98</t>
  </si>
  <si>
    <t>Client # 99</t>
  </si>
  <si>
    <t>Client # 100</t>
  </si>
  <si>
    <t>Total Payments</t>
  </si>
  <si>
    <t>Total Payments by Plan</t>
  </si>
  <si>
    <t>Plan</t>
  </si>
  <si>
    <t>All Plans</t>
  </si>
  <si>
    <t>Total Payments by Year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</si>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</sst>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05C7E2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2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/>
    <xf numFmtId="0" fontId="0" fillId="2" borderId="0" xfId="0" applyFill="1"/>
    <xf numFmtId="43" fontId="0" fillId="0" borderId="1" xfId="1" applyFont="1" applyBorder="1"/>
    <xf numFmtId="0" fontId="0" fillId="0" borderId="0" xfId="0" applyAlignment="1">
      <alignment horizontal="right"/>
    </xf>
    <xf numFmtId="0" fontId="0" fillId="4" borderId="1" xfId="0" applyFill="1" applyBorder="1"/>
    <xf numFmtId="1" fontId="0" fillId="0" borderId="1" xfId="0" applyNumberFormat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 Payment by Plans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Summary!$C$4</c:f>
              <c:strCache>
                <c:ptCount val="1"/>
                <c:pt idx="0">
                  <c:v>Total Payment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Summary!$B$5:$B$12</c15:sqref>
                  </c15:fullRef>
                </c:ext>
              </c:extLst>
              <c:f>Summary!$B$5:$B$11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Summary!$C$5:$C$12</c15:sqref>
                  </c15:fullRef>
                </c:ext>
              </c:extLst>
              <c:f>Summary!$C$5:$C$11</c:f>
              <c:numCache>
                <c:formatCode>_(* #,##0.00_);_(* \(#,##0.00\);_(* "-"??_);_(@_)</c:formatCode>
                <c:ptCount val="7"/>
                <c:pt idx="0">
                  <c:v>3930000</c:v>
                </c:pt>
                <c:pt idx="1">
                  <c:v>17429000</c:v>
                </c:pt>
                <c:pt idx="2">
                  <c:v>5306400</c:v>
                </c:pt>
                <c:pt idx="3">
                  <c:v>25967000</c:v>
                </c:pt>
                <c:pt idx="4">
                  <c:v>2867000</c:v>
                </c:pt>
                <c:pt idx="5">
                  <c:v>500000.00000000006</c:v>
                </c:pt>
                <c:pt idx="6">
                  <c:v>2910000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CF-4DBD-AC60-B72FFCDD6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8099904"/>
        <c:axId val="398092416"/>
      </c:barChart>
      <c:catAx>
        <c:axId val="398099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Plans</a:t>
                </a:r>
              </a:p>
            </c:rich>
          </c:tx>
          <c:layout>
            <c:manualLayout>
              <c:xMode val="edge"/>
              <c:yMode val="edge"/>
              <c:x val="0.55043657042869654"/>
              <c:y val="0.878680373286672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092416"/>
        <c:crosses val="autoZero"/>
        <c:auto val="1"/>
        <c:lblAlgn val="ctr"/>
        <c:lblOffset val="100"/>
        <c:noMultiLvlLbl val="0"/>
      </c:catAx>
      <c:valAx>
        <c:axId val="39809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Payment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2554790026246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0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Payment per year by plan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Summary!$F$3:$F$4</c:f>
              <c:strCache>
                <c:ptCount val="2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Summary!$E$5:$E$104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Summary!$F$5:$F$104</c:f>
              <c:numCache>
                <c:formatCode>0</c:formatCode>
                <c:ptCount val="100"/>
                <c:pt idx="0">
                  <c:v>0</c:v>
                </c:pt>
                <c:pt idx="1">
                  <c:v>15000</c:v>
                </c:pt>
                <c:pt idx="2">
                  <c:v>15000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45000</c:v>
                </c:pt>
                <c:pt idx="7">
                  <c:v>45000</c:v>
                </c:pt>
                <c:pt idx="8">
                  <c:v>45000</c:v>
                </c:pt>
                <c:pt idx="9">
                  <c:v>75000</c:v>
                </c:pt>
                <c:pt idx="10">
                  <c:v>75000</c:v>
                </c:pt>
                <c:pt idx="11">
                  <c:v>75000</c:v>
                </c:pt>
                <c:pt idx="12">
                  <c:v>90000</c:v>
                </c:pt>
                <c:pt idx="13">
                  <c:v>105000</c:v>
                </c:pt>
                <c:pt idx="14">
                  <c:v>105000</c:v>
                </c:pt>
                <c:pt idx="15">
                  <c:v>120000</c:v>
                </c:pt>
                <c:pt idx="16">
                  <c:v>135000</c:v>
                </c:pt>
                <c:pt idx="17">
                  <c:v>135000</c:v>
                </c:pt>
                <c:pt idx="18">
                  <c:v>135000</c:v>
                </c:pt>
                <c:pt idx="19">
                  <c:v>120000</c:v>
                </c:pt>
                <c:pt idx="20">
                  <c:v>105000</c:v>
                </c:pt>
                <c:pt idx="21">
                  <c:v>90000</c:v>
                </c:pt>
                <c:pt idx="22">
                  <c:v>90000</c:v>
                </c:pt>
                <c:pt idx="23">
                  <c:v>90000</c:v>
                </c:pt>
                <c:pt idx="24">
                  <c:v>120000</c:v>
                </c:pt>
                <c:pt idx="25">
                  <c:v>105000</c:v>
                </c:pt>
                <c:pt idx="26">
                  <c:v>120000</c:v>
                </c:pt>
                <c:pt idx="27">
                  <c:v>165000</c:v>
                </c:pt>
                <c:pt idx="28">
                  <c:v>165000</c:v>
                </c:pt>
                <c:pt idx="29">
                  <c:v>165000</c:v>
                </c:pt>
                <c:pt idx="30">
                  <c:v>165000</c:v>
                </c:pt>
                <c:pt idx="31">
                  <c:v>150000</c:v>
                </c:pt>
                <c:pt idx="32">
                  <c:v>135000</c:v>
                </c:pt>
                <c:pt idx="33">
                  <c:v>105000</c:v>
                </c:pt>
                <c:pt idx="34">
                  <c:v>105000</c:v>
                </c:pt>
                <c:pt idx="35">
                  <c:v>90000</c:v>
                </c:pt>
                <c:pt idx="36">
                  <c:v>90000</c:v>
                </c:pt>
                <c:pt idx="37">
                  <c:v>75000</c:v>
                </c:pt>
                <c:pt idx="38">
                  <c:v>75000</c:v>
                </c:pt>
                <c:pt idx="39">
                  <c:v>75000</c:v>
                </c:pt>
                <c:pt idx="40">
                  <c:v>60000</c:v>
                </c:pt>
                <c:pt idx="41">
                  <c:v>45000</c:v>
                </c:pt>
                <c:pt idx="42">
                  <c:v>45000</c:v>
                </c:pt>
                <c:pt idx="43">
                  <c:v>45000</c:v>
                </c:pt>
                <c:pt idx="44">
                  <c:v>15000</c:v>
                </c:pt>
                <c:pt idx="45">
                  <c:v>15000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D-464C-979D-935A57DBF7B3}"/>
            </c:ext>
          </c:extLst>
        </c:ser>
        <c:ser>
          <c:idx val="1"/>
          <c:order val="1"/>
          <c:tx>
            <c:strRef>
              <c:f>Summary!$G$3:$G$4</c:f>
              <c:strCache>
                <c:ptCount val="2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Summary!$E$5:$E$104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Summary!$G$5:$G$104</c:f>
              <c:numCache>
                <c:formatCode>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425000</c:v>
                </c:pt>
                <c:pt idx="24">
                  <c:v>442000</c:v>
                </c:pt>
                <c:pt idx="25">
                  <c:v>459000</c:v>
                </c:pt>
                <c:pt idx="26">
                  <c:v>476000</c:v>
                </c:pt>
                <c:pt idx="27">
                  <c:v>493000</c:v>
                </c:pt>
                <c:pt idx="28">
                  <c:v>510000</c:v>
                </c:pt>
                <c:pt idx="29">
                  <c:v>527000</c:v>
                </c:pt>
                <c:pt idx="30">
                  <c:v>544000</c:v>
                </c:pt>
                <c:pt idx="31">
                  <c:v>561000</c:v>
                </c:pt>
                <c:pt idx="32">
                  <c:v>578000</c:v>
                </c:pt>
                <c:pt idx="33">
                  <c:v>595000</c:v>
                </c:pt>
                <c:pt idx="34">
                  <c:v>612000</c:v>
                </c:pt>
                <c:pt idx="35">
                  <c:v>629000</c:v>
                </c:pt>
                <c:pt idx="36">
                  <c:v>646000</c:v>
                </c:pt>
                <c:pt idx="37">
                  <c:v>663000</c:v>
                </c:pt>
                <c:pt idx="38">
                  <c:v>680000</c:v>
                </c:pt>
                <c:pt idx="39">
                  <c:v>656000</c:v>
                </c:pt>
                <c:pt idx="40">
                  <c:v>630000</c:v>
                </c:pt>
                <c:pt idx="41">
                  <c:v>645000</c:v>
                </c:pt>
                <c:pt idx="42">
                  <c:v>616000</c:v>
                </c:pt>
                <c:pt idx="43">
                  <c:v>630000</c:v>
                </c:pt>
                <c:pt idx="44">
                  <c:v>644000</c:v>
                </c:pt>
                <c:pt idx="45">
                  <c:v>658000</c:v>
                </c:pt>
                <c:pt idx="46">
                  <c:v>624000</c:v>
                </c:pt>
                <c:pt idx="47">
                  <c:v>637000</c:v>
                </c:pt>
                <c:pt idx="48">
                  <c:v>650000</c:v>
                </c:pt>
                <c:pt idx="49">
                  <c:v>612000</c:v>
                </c:pt>
                <c:pt idx="50">
                  <c:v>624000</c:v>
                </c:pt>
                <c:pt idx="51">
                  <c:v>477000</c:v>
                </c:pt>
                <c:pt idx="52">
                  <c:v>486000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D-464C-979D-935A57DBF7B3}"/>
            </c:ext>
          </c:extLst>
        </c:ser>
        <c:ser>
          <c:idx val="2"/>
          <c:order val="2"/>
          <c:tx>
            <c:strRef>
              <c:f>Summary!$H$3:$H$4</c:f>
              <c:strCache>
                <c:ptCount val="2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Summary!$E$5:$E$104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Summary!$H$5:$H$104</c:f>
              <c:numCache>
                <c:formatCode>0</c:formatCode>
                <c:ptCount val="100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14400</c:v>
                </c:pt>
                <c:pt idx="7">
                  <c:v>14400</c:v>
                </c:pt>
                <c:pt idx="8">
                  <c:v>28800</c:v>
                </c:pt>
                <c:pt idx="9">
                  <c:v>36000</c:v>
                </c:pt>
                <c:pt idx="10">
                  <c:v>36000</c:v>
                </c:pt>
                <c:pt idx="11">
                  <c:v>36000</c:v>
                </c:pt>
                <c:pt idx="12">
                  <c:v>36000</c:v>
                </c:pt>
                <c:pt idx="13">
                  <c:v>36000</c:v>
                </c:pt>
                <c:pt idx="14">
                  <c:v>36000</c:v>
                </c:pt>
                <c:pt idx="15">
                  <c:v>36000</c:v>
                </c:pt>
                <c:pt idx="16">
                  <c:v>43200</c:v>
                </c:pt>
                <c:pt idx="17">
                  <c:v>50400</c:v>
                </c:pt>
                <c:pt idx="18">
                  <c:v>64800</c:v>
                </c:pt>
                <c:pt idx="19">
                  <c:v>64800</c:v>
                </c:pt>
                <c:pt idx="20">
                  <c:v>72000</c:v>
                </c:pt>
                <c:pt idx="21">
                  <c:v>72000</c:v>
                </c:pt>
                <c:pt idx="22">
                  <c:v>86400</c:v>
                </c:pt>
                <c:pt idx="23">
                  <c:v>93600</c:v>
                </c:pt>
                <c:pt idx="24">
                  <c:v>108000</c:v>
                </c:pt>
                <c:pt idx="25">
                  <c:v>108000</c:v>
                </c:pt>
                <c:pt idx="26">
                  <c:v>108000</c:v>
                </c:pt>
                <c:pt idx="27">
                  <c:v>115200</c:v>
                </c:pt>
                <c:pt idx="28">
                  <c:v>129600</c:v>
                </c:pt>
                <c:pt idx="29">
                  <c:v>136800</c:v>
                </c:pt>
                <c:pt idx="30">
                  <c:v>144000</c:v>
                </c:pt>
                <c:pt idx="31">
                  <c:v>144000</c:v>
                </c:pt>
                <c:pt idx="32">
                  <c:v>144000</c:v>
                </c:pt>
                <c:pt idx="33">
                  <c:v>144000</c:v>
                </c:pt>
                <c:pt idx="34">
                  <c:v>144000</c:v>
                </c:pt>
                <c:pt idx="35">
                  <c:v>144000</c:v>
                </c:pt>
                <c:pt idx="36">
                  <c:v>158400</c:v>
                </c:pt>
                <c:pt idx="37">
                  <c:v>158400</c:v>
                </c:pt>
                <c:pt idx="38">
                  <c:v>165600</c:v>
                </c:pt>
                <c:pt idx="39">
                  <c:v>158400</c:v>
                </c:pt>
                <c:pt idx="40">
                  <c:v>158400</c:v>
                </c:pt>
                <c:pt idx="41">
                  <c:v>144000</c:v>
                </c:pt>
                <c:pt idx="42">
                  <c:v>136800</c:v>
                </c:pt>
                <c:pt idx="43">
                  <c:v>122400</c:v>
                </c:pt>
                <c:pt idx="44">
                  <c:v>122400</c:v>
                </c:pt>
                <c:pt idx="45">
                  <c:v>122400</c:v>
                </c:pt>
                <c:pt idx="46">
                  <c:v>108000</c:v>
                </c:pt>
                <c:pt idx="47">
                  <c:v>108000</c:v>
                </c:pt>
                <c:pt idx="48">
                  <c:v>100800</c:v>
                </c:pt>
                <c:pt idx="49">
                  <c:v>100800</c:v>
                </c:pt>
                <c:pt idx="50">
                  <c:v>100800</c:v>
                </c:pt>
                <c:pt idx="51">
                  <c:v>93600</c:v>
                </c:pt>
                <c:pt idx="52">
                  <c:v>79200</c:v>
                </c:pt>
                <c:pt idx="53">
                  <c:v>79200</c:v>
                </c:pt>
                <c:pt idx="54">
                  <c:v>72000</c:v>
                </c:pt>
                <c:pt idx="55">
                  <c:v>72000</c:v>
                </c:pt>
                <c:pt idx="56">
                  <c:v>64800</c:v>
                </c:pt>
                <c:pt idx="57">
                  <c:v>64800</c:v>
                </c:pt>
                <c:pt idx="58">
                  <c:v>50400</c:v>
                </c:pt>
                <c:pt idx="59">
                  <c:v>50400</c:v>
                </c:pt>
                <c:pt idx="60">
                  <c:v>43200</c:v>
                </c:pt>
                <c:pt idx="61">
                  <c:v>36000</c:v>
                </c:pt>
                <c:pt idx="62">
                  <c:v>36000</c:v>
                </c:pt>
                <c:pt idx="63">
                  <c:v>36000</c:v>
                </c:pt>
                <c:pt idx="64">
                  <c:v>21600</c:v>
                </c:pt>
                <c:pt idx="65">
                  <c:v>21600</c:v>
                </c:pt>
                <c:pt idx="66">
                  <c:v>21600</c:v>
                </c:pt>
                <c:pt idx="67">
                  <c:v>21600</c:v>
                </c:pt>
                <c:pt idx="68">
                  <c:v>7200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D-464C-979D-935A57DBF7B3}"/>
            </c:ext>
          </c:extLst>
        </c:ser>
        <c:ser>
          <c:idx val="3"/>
          <c:order val="3"/>
          <c:tx>
            <c:strRef>
              <c:f>Summary!$I$3:$I$4</c:f>
              <c:strCache>
                <c:ptCount val="2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Summary!$E$5:$E$104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Summary!$I$5:$I$104</c:f>
              <c:numCache>
                <c:formatCode>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540000</c:v>
                </c:pt>
                <c:pt idx="19">
                  <c:v>549000</c:v>
                </c:pt>
                <c:pt idx="20">
                  <c:v>558000</c:v>
                </c:pt>
                <c:pt idx="21">
                  <c:v>567000</c:v>
                </c:pt>
                <c:pt idx="22">
                  <c:v>576000</c:v>
                </c:pt>
                <c:pt idx="23">
                  <c:v>585000</c:v>
                </c:pt>
                <c:pt idx="24">
                  <c:v>594000</c:v>
                </c:pt>
                <c:pt idx="25">
                  <c:v>603000</c:v>
                </c:pt>
                <c:pt idx="26">
                  <c:v>612000</c:v>
                </c:pt>
                <c:pt idx="27">
                  <c:v>621000</c:v>
                </c:pt>
                <c:pt idx="28">
                  <c:v>630000</c:v>
                </c:pt>
                <c:pt idx="29">
                  <c:v>639000</c:v>
                </c:pt>
                <c:pt idx="30">
                  <c:v>648000</c:v>
                </c:pt>
                <c:pt idx="31">
                  <c:v>657000</c:v>
                </c:pt>
                <c:pt idx="32">
                  <c:v>666000</c:v>
                </c:pt>
                <c:pt idx="33">
                  <c:v>675000</c:v>
                </c:pt>
                <c:pt idx="34">
                  <c:v>684000</c:v>
                </c:pt>
                <c:pt idx="35">
                  <c:v>693000</c:v>
                </c:pt>
                <c:pt idx="36">
                  <c:v>702000</c:v>
                </c:pt>
                <c:pt idx="37">
                  <c:v>711000</c:v>
                </c:pt>
                <c:pt idx="38">
                  <c:v>720000</c:v>
                </c:pt>
                <c:pt idx="39">
                  <c:v>729000</c:v>
                </c:pt>
                <c:pt idx="40">
                  <c:v>738000</c:v>
                </c:pt>
                <c:pt idx="41">
                  <c:v>747000</c:v>
                </c:pt>
                <c:pt idx="42">
                  <c:v>756000</c:v>
                </c:pt>
                <c:pt idx="43">
                  <c:v>765000</c:v>
                </c:pt>
                <c:pt idx="44">
                  <c:v>774000</c:v>
                </c:pt>
                <c:pt idx="45">
                  <c:v>696000</c:v>
                </c:pt>
                <c:pt idx="46">
                  <c:v>704000</c:v>
                </c:pt>
                <c:pt idx="47">
                  <c:v>712000</c:v>
                </c:pt>
                <c:pt idx="48">
                  <c:v>720000</c:v>
                </c:pt>
                <c:pt idx="49">
                  <c:v>728000</c:v>
                </c:pt>
                <c:pt idx="50">
                  <c:v>736000</c:v>
                </c:pt>
                <c:pt idx="51">
                  <c:v>651000</c:v>
                </c:pt>
                <c:pt idx="52">
                  <c:v>658000</c:v>
                </c:pt>
                <c:pt idx="53">
                  <c:v>570000</c:v>
                </c:pt>
                <c:pt idx="54">
                  <c:v>480000</c:v>
                </c:pt>
                <c:pt idx="55">
                  <c:v>485000</c:v>
                </c:pt>
                <c:pt idx="56">
                  <c:v>392000</c:v>
                </c:pt>
                <c:pt idx="57">
                  <c:v>396000</c:v>
                </c:pt>
                <c:pt idx="58">
                  <c:v>300000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D-464C-979D-935A57DBF7B3}"/>
            </c:ext>
          </c:extLst>
        </c:ser>
        <c:ser>
          <c:idx val="4"/>
          <c:order val="4"/>
          <c:tx>
            <c:strRef>
              <c:f>Summary!$J$3:$J$4</c:f>
              <c:strCache>
                <c:ptCount val="2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Summary!$E$5:$E$104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Summary!$J$5:$J$104</c:f>
              <c:numCache>
                <c:formatCode>0</c:formatCode>
                <c:ptCount val="100"/>
                <c:pt idx="0">
                  <c:v>0</c:v>
                </c:pt>
                <c:pt idx="1">
                  <c:v>19000</c:v>
                </c:pt>
                <c:pt idx="2">
                  <c:v>19000</c:v>
                </c:pt>
                <c:pt idx="3">
                  <c:v>19000</c:v>
                </c:pt>
                <c:pt idx="4">
                  <c:v>19000</c:v>
                </c:pt>
                <c:pt idx="5">
                  <c:v>38000</c:v>
                </c:pt>
                <c:pt idx="6">
                  <c:v>38000</c:v>
                </c:pt>
                <c:pt idx="7">
                  <c:v>38000</c:v>
                </c:pt>
                <c:pt idx="8">
                  <c:v>38000</c:v>
                </c:pt>
                <c:pt idx="9">
                  <c:v>44000</c:v>
                </c:pt>
                <c:pt idx="10">
                  <c:v>50000</c:v>
                </c:pt>
                <c:pt idx="11">
                  <c:v>50000</c:v>
                </c:pt>
                <c:pt idx="12">
                  <c:v>25000</c:v>
                </c:pt>
                <c:pt idx="13">
                  <c:v>44000</c:v>
                </c:pt>
                <c:pt idx="14">
                  <c:v>44000</c:v>
                </c:pt>
                <c:pt idx="15">
                  <c:v>63000</c:v>
                </c:pt>
                <c:pt idx="16">
                  <c:v>63000</c:v>
                </c:pt>
                <c:pt idx="17">
                  <c:v>63000</c:v>
                </c:pt>
                <c:pt idx="18">
                  <c:v>63000</c:v>
                </c:pt>
                <c:pt idx="19">
                  <c:v>82000</c:v>
                </c:pt>
                <c:pt idx="20">
                  <c:v>57000</c:v>
                </c:pt>
                <c:pt idx="21">
                  <c:v>76000</c:v>
                </c:pt>
                <c:pt idx="22">
                  <c:v>82000</c:v>
                </c:pt>
                <c:pt idx="23">
                  <c:v>82000</c:v>
                </c:pt>
                <c:pt idx="24">
                  <c:v>82000</c:v>
                </c:pt>
                <c:pt idx="25">
                  <c:v>101000</c:v>
                </c:pt>
                <c:pt idx="26">
                  <c:v>101000</c:v>
                </c:pt>
                <c:pt idx="27">
                  <c:v>101000</c:v>
                </c:pt>
                <c:pt idx="28">
                  <c:v>107000</c:v>
                </c:pt>
                <c:pt idx="29">
                  <c:v>113000</c:v>
                </c:pt>
                <c:pt idx="30">
                  <c:v>132000</c:v>
                </c:pt>
                <c:pt idx="31">
                  <c:v>113000</c:v>
                </c:pt>
                <c:pt idx="32">
                  <c:v>113000</c:v>
                </c:pt>
                <c:pt idx="33">
                  <c:v>119000</c:v>
                </c:pt>
                <c:pt idx="34">
                  <c:v>119000</c:v>
                </c:pt>
                <c:pt idx="35">
                  <c:v>100000</c:v>
                </c:pt>
                <c:pt idx="36">
                  <c:v>100000</c:v>
                </c:pt>
                <c:pt idx="37">
                  <c:v>100000</c:v>
                </c:pt>
                <c:pt idx="38">
                  <c:v>75000</c:v>
                </c:pt>
                <c:pt idx="39">
                  <c:v>50000</c:v>
                </c:pt>
                <c:pt idx="40">
                  <c:v>50000</c:v>
                </c:pt>
                <c:pt idx="41">
                  <c:v>25000</c:v>
                </c:pt>
                <c:pt idx="42">
                  <c:v>25000</c:v>
                </c:pt>
                <c:pt idx="43">
                  <c:v>25000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D-464C-979D-935A57DBF7B3}"/>
            </c:ext>
          </c:extLst>
        </c:ser>
        <c:ser>
          <c:idx val="5"/>
          <c:order val="5"/>
          <c:tx>
            <c:strRef>
              <c:f>Summary!$K$3:$K$4</c:f>
              <c:strCache>
                <c:ptCount val="2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Summary!$E$5:$E$104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Summary!$K$5:$K$104</c:f>
              <c:numCache>
                <c:formatCode>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25000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24285.714285714286</c:v>
                </c:pt>
                <c:pt idx="26">
                  <c:v>24285.714285714286</c:v>
                </c:pt>
                <c:pt idx="27">
                  <c:v>24285.714285714286</c:v>
                </c:pt>
                <c:pt idx="28">
                  <c:v>24285.714285714286</c:v>
                </c:pt>
                <c:pt idx="29">
                  <c:v>24285.714285714286</c:v>
                </c:pt>
                <c:pt idx="30">
                  <c:v>19285.714285714286</c:v>
                </c:pt>
                <c:pt idx="31">
                  <c:v>24841.269841269841</c:v>
                </c:pt>
                <c:pt idx="32">
                  <c:v>10555.555555555555</c:v>
                </c:pt>
                <c:pt idx="33">
                  <c:v>10555.555555555555</c:v>
                </c:pt>
                <c:pt idx="34">
                  <c:v>10555.555555555555</c:v>
                </c:pt>
                <c:pt idx="35">
                  <c:v>10555.555555555555</c:v>
                </c:pt>
                <c:pt idx="36">
                  <c:v>5555.5555555555557</c:v>
                </c:pt>
                <c:pt idx="37">
                  <c:v>5555.5555555555557</c:v>
                </c:pt>
                <c:pt idx="38">
                  <c:v>5555.5555555555557</c:v>
                </c:pt>
                <c:pt idx="39">
                  <c:v>5555.5555555555557</c:v>
                </c:pt>
                <c:pt idx="40">
                  <c:v>5555.5555555555557</c:v>
                </c:pt>
                <c:pt idx="41">
                  <c:v>5555.5555555555557</c:v>
                </c:pt>
                <c:pt idx="42">
                  <c:v>5555.5555555555557</c:v>
                </c:pt>
                <c:pt idx="43">
                  <c:v>5555.5555555555557</c:v>
                </c:pt>
                <c:pt idx="44">
                  <c:v>5555.5555555555557</c:v>
                </c:pt>
                <c:pt idx="45">
                  <c:v>5555.5555555555557</c:v>
                </c:pt>
                <c:pt idx="46">
                  <c:v>5555.5555555555557</c:v>
                </c:pt>
                <c:pt idx="47">
                  <c:v>5555.5555555555557</c:v>
                </c:pt>
                <c:pt idx="48">
                  <c:v>5555.5555555555557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D-464C-979D-935A57DBF7B3}"/>
            </c:ext>
          </c:extLst>
        </c:ser>
        <c:ser>
          <c:idx val="6"/>
          <c:order val="6"/>
          <c:tx>
            <c:strRef>
              <c:f>Summary!$L$3:$L$4</c:f>
              <c:strCache>
                <c:ptCount val="2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Summary!$E$5:$E$104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Summary!$L$5:$L$104</c:f>
              <c:numCache>
                <c:formatCode>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60000</c:v>
                </c:pt>
                <c:pt idx="5">
                  <c:v>0</c:v>
                </c:pt>
                <c:pt idx="6">
                  <c:v>90000</c:v>
                </c:pt>
                <c:pt idx="7">
                  <c:v>0</c:v>
                </c:pt>
                <c:pt idx="8">
                  <c:v>120000</c:v>
                </c:pt>
                <c:pt idx="9">
                  <c:v>0</c:v>
                </c:pt>
                <c:pt idx="10">
                  <c:v>120000</c:v>
                </c:pt>
                <c:pt idx="11">
                  <c:v>0</c:v>
                </c:pt>
                <c:pt idx="12">
                  <c:v>120000</c:v>
                </c:pt>
                <c:pt idx="13">
                  <c:v>0</c:v>
                </c:pt>
                <c:pt idx="14">
                  <c:v>90000</c:v>
                </c:pt>
                <c:pt idx="15">
                  <c:v>60000</c:v>
                </c:pt>
                <c:pt idx="16">
                  <c:v>90000</c:v>
                </c:pt>
                <c:pt idx="17">
                  <c:v>90000</c:v>
                </c:pt>
                <c:pt idx="18">
                  <c:v>120000</c:v>
                </c:pt>
                <c:pt idx="19">
                  <c:v>150000</c:v>
                </c:pt>
                <c:pt idx="20">
                  <c:v>90000</c:v>
                </c:pt>
                <c:pt idx="21">
                  <c:v>180000</c:v>
                </c:pt>
                <c:pt idx="22">
                  <c:v>120000</c:v>
                </c:pt>
                <c:pt idx="23">
                  <c:v>120000</c:v>
                </c:pt>
                <c:pt idx="24">
                  <c:v>90000</c:v>
                </c:pt>
                <c:pt idx="25">
                  <c:v>90000</c:v>
                </c:pt>
                <c:pt idx="26">
                  <c:v>90000</c:v>
                </c:pt>
                <c:pt idx="27">
                  <c:v>120000</c:v>
                </c:pt>
                <c:pt idx="28">
                  <c:v>90000</c:v>
                </c:pt>
                <c:pt idx="29">
                  <c:v>120000</c:v>
                </c:pt>
                <c:pt idx="30">
                  <c:v>90000</c:v>
                </c:pt>
                <c:pt idx="31">
                  <c:v>120000</c:v>
                </c:pt>
                <c:pt idx="32">
                  <c:v>90000</c:v>
                </c:pt>
                <c:pt idx="33">
                  <c:v>30000</c:v>
                </c:pt>
                <c:pt idx="34">
                  <c:v>60000</c:v>
                </c:pt>
                <c:pt idx="35">
                  <c:v>30000</c:v>
                </c:pt>
                <c:pt idx="36">
                  <c:v>60000</c:v>
                </c:pt>
                <c:pt idx="37">
                  <c:v>30000</c:v>
                </c:pt>
                <c:pt idx="38">
                  <c:v>30000</c:v>
                </c:pt>
                <c:pt idx="39">
                  <c:v>30000</c:v>
                </c:pt>
                <c:pt idx="40">
                  <c:v>30000</c:v>
                </c:pt>
                <c:pt idx="41">
                  <c:v>30000</c:v>
                </c:pt>
                <c:pt idx="42">
                  <c:v>30000</c:v>
                </c:pt>
                <c:pt idx="43">
                  <c:v>30000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D-464C-979D-935A57DBF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18240"/>
        <c:axId val="398095328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Summary!$M$3:$M$4</c15:sqref>
                        </c15:formulaRef>
                      </c:ext>
                    </c:extLst>
                    <c:strCache>
                      <c:ptCount val="2"/>
                      <c:pt idx="0">
                        <c:v>Total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Summary!$E$5:$E$104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Summary!$M$5:$M$104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7200</c:v>
                      </c:pt>
                      <c:pt idx="1">
                        <c:v>41200</c:v>
                      </c:pt>
                      <c:pt idx="2">
                        <c:v>41200</c:v>
                      </c:pt>
                      <c:pt idx="3">
                        <c:v>56200</c:v>
                      </c:pt>
                      <c:pt idx="4">
                        <c:v>116200</c:v>
                      </c:pt>
                      <c:pt idx="5">
                        <c:v>75200</c:v>
                      </c:pt>
                      <c:pt idx="6">
                        <c:v>187400</c:v>
                      </c:pt>
                      <c:pt idx="7">
                        <c:v>97400</c:v>
                      </c:pt>
                      <c:pt idx="8">
                        <c:v>231800</c:v>
                      </c:pt>
                      <c:pt idx="9">
                        <c:v>155000</c:v>
                      </c:pt>
                      <c:pt idx="10">
                        <c:v>286000</c:v>
                      </c:pt>
                      <c:pt idx="11">
                        <c:v>166000</c:v>
                      </c:pt>
                      <c:pt idx="12">
                        <c:v>276000</c:v>
                      </c:pt>
                      <c:pt idx="13">
                        <c:v>190000</c:v>
                      </c:pt>
                      <c:pt idx="14">
                        <c:v>280000</c:v>
                      </c:pt>
                      <c:pt idx="15">
                        <c:v>304000</c:v>
                      </c:pt>
                      <c:pt idx="16">
                        <c:v>361200</c:v>
                      </c:pt>
                      <c:pt idx="17">
                        <c:v>368400</c:v>
                      </c:pt>
                      <c:pt idx="18">
                        <c:v>952800</c:v>
                      </c:pt>
                      <c:pt idx="19">
                        <c:v>995800</c:v>
                      </c:pt>
                      <c:pt idx="20">
                        <c:v>892000</c:v>
                      </c:pt>
                      <c:pt idx="21">
                        <c:v>995000</c:v>
                      </c:pt>
                      <c:pt idx="22">
                        <c:v>964400</c:v>
                      </c:pt>
                      <c:pt idx="23">
                        <c:v>1405600</c:v>
                      </c:pt>
                      <c:pt idx="24">
                        <c:v>1446000</c:v>
                      </c:pt>
                      <c:pt idx="25">
                        <c:v>1490285.7142857143</c:v>
                      </c:pt>
                      <c:pt idx="26">
                        <c:v>1531285.7142857143</c:v>
                      </c:pt>
                      <c:pt idx="27">
                        <c:v>1639485.7142857143</c:v>
                      </c:pt>
                      <c:pt idx="28">
                        <c:v>1655885.7142857143</c:v>
                      </c:pt>
                      <c:pt idx="29">
                        <c:v>1725085.7142857143</c:v>
                      </c:pt>
                      <c:pt idx="30">
                        <c:v>1742285.7142857143</c:v>
                      </c:pt>
                      <c:pt idx="31">
                        <c:v>1769841.2698412698</c:v>
                      </c:pt>
                      <c:pt idx="32">
                        <c:v>1736555.5555555555</c:v>
                      </c:pt>
                      <c:pt idx="33">
                        <c:v>1678555.5555555555</c:v>
                      </c:pt>
                      <c:pt idx="34">
                        <c:v>1734555.5555555555</c:v>
                      </c:pt>
                      <c:pt idx="35">
                        <c:v>1696555.5555555555</c:v>
                      </c:pt>
                      <c:pt idx="36">
                        <c:v>1761955.5555555555</c:v>
                      </c:pt>
                      <c:pt idx="37">
                        <c:v>1742955.5555555555</c:v>
                      </c:pt>
                      <c:pt idx="38">
                        <c:v>1751155.5555555555</c:v>
                      </c:pt>
                      <c:pt idx="39">
                        <c:v>1703955.5555555555</c:v>
                      </c:pt>
                      <c:pt idx="40">
                        <c:v>1671955.5555555555</c:v>
                      </c:pt>
                      <c:pt idx="41">
                        <c:v>1641555.5555555555</c:v>
                      </c:pt>
                      <c:pt idx="42">
                        <c:v>1614355.5555555555</c:v>
                      </c:pt>
                      <c:pt idx="43">
                        <c:v>1622955.5555555555</c:v>
                      </c:pt>
                      <c:pt idx="44">
                        <c:v>1560955.5555555555</c:v>
                      </c:pt>
                      <c:pt idx="45">
                        <c:v>1496955.5555555555</c:v>
                      </c:pt>
                      <c:pt idx="46">
                        <c:v>1441555.5555555555</c:v>
                      </c:pt>
                      <c:pt idx="47">
                        <c:v>1462555.5555555555</c:v>
                      </c:pt>
                      <c:pt idx="48">
                        <c:v>1476355.5555555555</c:v>
                      </c:pt>
                      <c:pt idx="49">
                        <c:v>1440800</c:v>
                      </c:pt>
                      <c:pt idx="50">
                        <c:v>1460800</c:v>
                      </c:pt>
                      <c:pt idx="51">
                        <c:v>1221600</c:v>
                      </c:pt>
                      <c:pt idx="52">
                        <c:v>1223200</c:v>
                      </c:pt>
                      <c:pt idx="53">
                        <c:v>649200</c:v>
                      </c:pt>
                      <c:pt idx="54">
                        <c:v>552000</c:v>
                      </c:pt>
                      <c:pt idx="55">
                        <c:v>557000</c:v>
                      </c:pt>
                      <c:pt idx="56">
                        <c:v>456800</c:v>
                      </c:pt>
                      <c:pt idx="57">
                        <c:v>460800</c:v>
                      </c:pt>
                      <c:pt idx="58">
                        <c:v>350400</c:v>
                      </c:pt>
                      <c:pt idx="59">
                        <c:v>50400</c:v>
                      </c:pt>
                      <c:pt idx="60">
                        <c:v>43200</c:v>
                      </c:pt>
                      <c:pt idx="61">
                        <c:v>36000</c:v>
                      </c:pt>
                      <c:pt idx="62">
                        <c:v>36000</c:v>
                      </c:pt>
                      <c:pt idx="63">
                        <c:v>36000</c:v>
                      </c:pt>
                      <c:pt idx="64">
                        <c:v>21600</c:v>
                      </c:pt>
                      <c:pt idx="65">
                        <c:v>21600</c:v>
                      </c:pt>
                      <c:pt idx="66">
                        <c:v>21600</c:v>
                      </c:pt>
                      <c:pt idx="67">
                        <c:v>21600</c:v>
                      </c:pt>
                      <c:pt idx="68">
                        <c:v>7200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18CD-464C-979D-935A57DBF7B3}"/>
                  </c:ext>
                </c:extLst>
              </c15:ser>
            </c15:filteredLineSeries>
          </c:ext>
        </c:extLst>
      </c:lineChart>
      <c:catAx>
        <c:axId val="553318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Years</a:t>
                </a:r>
              </a:p>
            </c:rich>
          </c:tx>
          <c:layout>
            <c:manualLayout>
              <c:xMode val="edge"/>
              <c:yMode val="edge"/>
              <c:x val="0.4770888013998249"/>
              <c:y val="0.7646035612454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095328"/>
        <c:crosses val="autoZero"/>
        <c:auto val="1"/>
        <c:lblAlgn val="ctr"/>
        <c:lblOffset val="100"/>
        <c:noMultiLvlLbl val="0"/>
      </c:catAx>
      <c:valAx>
        <c:axId val="39809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 Payment per year by plan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7"/>
          <c:order val="7"/>
          <c:tx>
            <c:strRef>
              <c:f>Summary!$M$3:$M$4</c:f>
              <c:strCache>
                <c:ptCount val="2"/>
                <c:pt idx="0">
                  <c:v>Total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Summary!$E$5:$E$104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  <c:extLst xmlns:c15="http://schemas.microsoft.com/office/drawing/2012/chart"/>
            </c:numRef>
          </c:cat>
          <c:val>
            <c:numRef>
              <c:f>Summary!$M$5:$M$104</c:f>
              <c:numCache>
                <c:formatCode>0</c:formatCode>
                <c:ptCount val="100"/>
                <c:pt idx="0">
                  <c:v>7200</c:v>
                </c:pt>
                <c:pt idx="1">
                  <c:v>41200</c:v>
                </c:pt>
                <c:pt idx="2">
                  <c:v>41200</c:v>
                </c:pt>
                <c:pt idx="3">
                  <c:v>56200</c:v>
                </c:pt>
                <c:pt idx="4">
                  <c:v>116200</c:v>
                </c:pt>
                <c:pt idx="5">
                  <c:v>75200</c:v>
                </c:pt>
                <c:pt idx="6">
                  <c:v>187400</c:v>
                </c:pt>
                <c:pt idx="7">
                  <c:v>97400</c:v>
                </c:pt>
                <c:pt idx="8">
                  <c:v>231800</c:v>
                </c:pt>
                <c:pt idx="9">
                  <c:v>155000</c:v>
                </c:pt>
                <c:pt idx="10">
                  <c:v>286000</c:v>
                </c:pt>
                <c:pt idx="11">
                  <c:v>166000</c:v>
                </c:pt>
                <c:pt idx="12">
                  <c:v>276000</c:v>
                </c:pt>
                <c:pt idx="13">
                  <c:v>190000</c:v>
                </c:pt>
                <c:pt idx="14">
                  <c:v>280000</c:v>
                </c:pt>
                <c:pt idx="15">
                  <c:v>304000</c:v>
                </c:pt>
                <c:pt idx="16">
                  <c:v>361200</c:v>
                </c:pt>
                <c:pt idx="17">
                  <c:v>368400</c:v>
                </c:pt>
                <c:pt idx="18">
                  <c:v>952800</c:v>
                </c:pt>
                <c:pt idx="19">
                  <c:v>995800</c:v>
                </c:pt>
                <c:pt idx="20">
                  <c:v>892000</c:v>
                </c:pt>
                <c:pt idx="21">
                  <c:v>995000</c:v>
                </c:pt>
                <c:pt idx="22">
                  <c:v>964400</c:v>
                </c:pt>
                <c:pt idx="23">
                  <c:v>1405600</c:v>
                </c:pt>
                <c:pt idx="24">
                  <c:v>1446000</c:v>
                </c:pt>
                <c:pt idx="25">
                  <c:v>1490285.7142857143</c:v>
                </c:pt>
                <c:pt idx="26">
                  <c:v>1531285.7142857143</c:v>
                </c:pt>
                <c:pt idx="27">
                  <c:v>1639485.7142857143</c:v>
                </c:pt>
                <c:pt idx="28">
                  <c:v>1655885.7142857143</c:v>
                </c:pt>
                <c:pt idx="29">
                  <c:v>1725085.7142857143</c:v>
                </c:pt>
                <c:pt idx="30">
                  <c:v>1742285.7142857143</c:v>
                </c:pt>
                <c:pt idx="31">
                  <c:v>1769841.2698412698</c:v>
                </c:pt>
                <c:pt idx="32">
                  <c:v>1736555.5555555555</c:v>
                </c:pt>
                <c:pt idx="33">
                  <c:v>1678555.5555555555</c:v>
                </c:pt>
                <c:pt idx="34">
                  <c:v>1734555.5555555555</c:v>
                </c:pt>
                <c:pt idx="35">
                  <c:v>1696555.5555555555</c:v>
                </c:pt>
                <c:pt idx="36">
                  <c:v>1761955.5555555555</c:v>
                </c:pt>
                <c:pt idx="37">
                  <c:v>1742955.5555555555</c:v>
                </c:pt>
                <c:pt idx="38">
                  <c:v>1751155.5555555555</c:v>
                </c:pt>
                <c:pt idx="39">
                  <c:v>1703955.5555555555</c:v>
                </c:pt>
                <c:pt idx="40">
                  <c:v>1671955.5555555555</c:v>
                </c:pt>
                <c:pt idx="41">
                  <c:v>1641555.5555555555</c:v>
                </c:pt>
                <c:pt idx="42">
                  <c:v>1614355.5555555555</c:v>
                </c:pt>
                <c:pt idx="43">
                  <c:v>1622955.5555555555</c:v>
                </c:pt>
                <c:pt idx="44">
                  <c:v>1560955.5555555555</c:v>
                </c:pt>
                <c:pt idx="45">
                  <c:v>1496955.5555555555</c:v>
                </c:pt>
                <c:pt idx="46">
                  <c:v>1441555.5555555555</c:v>
                </c:pt>
                <c:pt idx="47">
                  <c:v>1462555.5555555555</c:v>
                </c:pt>
                <c:pt idx="48">
                  <c:v>1476355.5555555555</c:v>
                </c:pt>
                <c:pt idx="49">
                  <c:v>1440800</c:v>
                </c:pt>
                <c:pt idx="50">
                  <c:v>1460800</c:v>
                </c:pt>
                <c:pt idx="51">
                  <c:v>1221600</c:v>
                </c:pt>
                <c:pt idx="52">
                  <c:v>1223200</c:v>
                </c:pt>
                <c:pt idx="53">
                  <c:v>649200</c:v>
                </c:pt>
                <c:pt idx="54">
                  <c:v>552000</c:v>
                </c:pt>
                <c:pt idx="55">
                  <c:v>557000</c:v>
                </c:pt>
                <c:pt idx="56">
                  <c:v>456800</c:v>
                </c:pt>
                <c:pt idx="57">
                  <c:v>460800</c:v>
                </c:pt>
                <c:pt idx="58">
                  <c:v>350400</c:v>
                </c:pt>
                <c:pt idx="59">
                  <c:v>50400</c:v>
                </c:pt>
                <c:pt idx="60">
                  <c:v>43200</c:v>
                </c:pt>
                <c:pt idx="61">
                  <c:v>36000</c:v>
                </c:pt>
                <c:pt idx="62">
                  <c:v>36000</c:v>
                </c:pt>
                <c:pt idx="63">
                  <c:v>36000</c:v>
                </c:pt>
                <c:pt idx="64">
                  <c:v>21600</c:v>
                </c:pt>
                <c:pt idx="65">
                  <c:v>21600</c:v>
                </c:pt>
                <c:pt idx="66">
                  <c:v>21600</c:v>
                </c:pt>
                <c:pt idx="67">
                  <c:v>21600</c:v>
                </c:pt>
                <c:pt idx="68">
                  <c:v>7200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7-213E-4A6F-B928-DFD3B90CA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18240"/>
        <c:axId val="3980953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Summary!$F$3:$F$4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Summary!$E$5:$E$104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Summary!$F$5:$F$104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0</c:v>
                      </c:pt>
                      <c:pt idx="1">
                        <c:v>15000</c:v>
                      </c:pt>
                      <c:pt idx="2">
                        <c:v>15000</c:v>
                      </c:pt>
                      <c:pt idx="3">
                        <c:v>30000</c:v>
                      </c:pt>
                      <c:pt idx="4">
                        <c:v>30000</c:v>
                      </c:pt>
                      <c:pt idx="5">
                        <c:v>30000</c:v>
                      </c:pt>
                      <c:pt idx="6">
                        <c:v>45000</c:v>
                      </c:pt>
                      <c:pt idx="7">
                        <c:v>45000</c:v>
                      </c:pt>
                      <c:pt idx="8">
                        <c:v>45000</c:v>
                      </c:pt>
                      <c:pt idx="9">
                        <c:v>75000</c:v>
                      </c:pt>
                      <c:pt idx="10">
                        <c:v>75000</c:v>
                      </c:pt>
                      <c:pt idx="11">
                        <c:v>75000</c:v>
                      </c:pt>
                      <c:pt idx="12">
                        <c:v>90000</c:v>
                      </c:pt>
                      <c:pt idx="13">
                        <c:v>105000</c:v>
                      </c:pt>
                      <c:pt idx="14">
                        <c:v>105000</c:v>
                      </c:pt>
                      <c:pt idx="15">
                        <c:v>120000</c:v>
                      </c:pt>
                      <c:pt idx="16">
                        <c:v>135000</c:v>
                      </c:pt>
                      <c:pt idx="17">
                        <c:v>135000</c:v>
                      </c:pt>
                      <c:pt idx="18">
                        <c:v>135000</c:v>
                      </c:pt>
                      <c:pt idx="19">
                        <c:v>120000</c:v>
                      </c:pt>
                      <c:pt idx="20">
                        <c:v>105000</c:v>
                      </c:pt>
                      <c:pt idx="21">
                        <c:v>90000</c:v>
                      </c:pt>
                      <c:pt idx="22">
                        <c:v>90000</c:v>
                      </c:pt>
                      <c:pt idx="23">
                        <c:v>90000</c:v>
                      </c:pt>
                      <c:pt idx="24">
                        <c:v>120000</c:v>
                      </c:pt>
                      <c:pt idx="25">
                        <c:v>105000</c:v>
                      </c:pt>
                      <c:pt idx="26">
                        <c:v>120000</c:v>
                      </c:pt>
                      <c:pt idx="27">
                        <c:v>165000</c:v>
                      </c:pt>
                      <c:pt idx="28">
                        <c:v>165000</c:v>
                      </c:pt>
                      <c:pt idx="29">
                        <c:v>165000</c:v>
                      </c:pt>
                      <c:pt idx="30">
                        <c:v>165000</c:v>
                      </c:pt>
                      <c:pt idx="31">
                        <c:v>150000</c:v>
                      </c:pt>
                      <c:pt idx="32">
                        <c:v>135000</c:v>
                      </c:pt>
                      <c:pt idx="33">
                        <c:v>105000</c:v>
                      </c:pt>
                      <c:pt idx="34">
                        <c:v>105000</c:v>
                      </c:pt>
                      <c:pt idx="35">
                        <c:v>90000</c:v>
                      </c:pt>
                      <c:pt idx="36">
                        <c:v>90000</c:v>
                      </c:pt>
                      <c:pt idx="37">
                        <c:v>75000</c:v>
                      </c:pt>
                      <c:pt idx="38">
                        <c:v>75000</c:v>
                      </c:pt>
                      <c:pt idx="39">
                        <c:v>75000</c:v>
                      </c:pt>
                      <c:pt idx="40">
                        <c:v>60000</c:v>
                      </c:pt>
                      <c:pt idx="41">
                        <c:v>45000</c:v>
                      </c:pt>
                      <c:pt idx="42">
                        <c:v>45000</c:v>
                      </c:pt>
                      <c:pt idx="43">
                        <c:v>45000</c:v>
                      </c:pt>
                      <c:pt idx="44">
                        <c:v>15000</c:v>
                      </c:pt>
                      <c:pt idx="45">
                        <c:v>15000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13E-4A6F-B928-DFD3B90CADC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Summary!$G$3:$G$4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Summary!$E$5:$E$104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Summary!$G$5:$G$104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425000</c:v>
                      </c:pt>
                      <c:pt idx="24">
                        <c:v>442000</c:v>
                      </c:pt>
                      <c:pt idx="25">
                        <c:v>459000</c:v>
                      </c:pt>
                      <c:pt idx="26">
                        <c:v>476000</c:v>
                      </c:pt>
                      <c:pt idx="27">
                        <c:v>493000</c:v>
                      </c:pt>
                      <c:pt idx="28">
                        <c:v>510000</c:v>
                      </c:pt>
                      <c:pt idx="29">
                        <c:v>527000</c:v>
                      </c:pt>
                      <c:pt idx="30">
                        <c:v>544000</c:v>
                      </c:pt>
                      <c:pt idx="31">
                        <c:v>561000</c:v>
                      </c:pt>
                      <c:pt idx="32">
                        <c:v>578000</c:v>
                      </c:pt>
                      <c:pt idx="33">
                        <c:v>595000</c:v>
                      </c:pt>
                      <c:pt idx="34">
                        <c:v>612000</c:v>
                      </c:pt>
                      <c:pt idx="35">
                        <c:v>629000</c:v>
                      </c:pt>
                      <c:pt idx="36">
                        <c:v>646000</c:v>
                      </c:pt>
                      <c:pt idx="37">
                        <c:v>663000</c:v>
                      </c:pt>
                      <c:pt idx="38">
                        <c:v>680000</c:v>
                      </c:pt>
                      <c:pt idx="39">
                        <c:v>656000</c:v>
                      </c:pt>
                      <c:pt idx="40">
                        <c:v>630000</c:v>
                      </c:pt>
                      <c:pt idx="41">
                        <c:v>645000</c:v>
                      </c:pt>
                      <c:pt idx="42">
                        <c:v>616000</c:v>
                      </c:pt>
                      <c:pt idx="43">
                        <c:v>630000</c:v>
                      </c:pt>
                      <c:pt idx="44">
                        <c:v>644000</c:v>
                      </c:pt>
                      <c:pt idx="45">
                        <c:v>658000</c:v>
                      </c:pt>
                      <c:pt idx="46">
                        <c:v>624000</c:v>
                      </c:pt>
                      <c:pt idx="47">
                        <c:v>637000</c:v>
                      </c:pt>
                      <c:pt idx="48">
                        <c:v>650000</c:v>
                      </c:pt>
                      <c:pt idx="49">
                        <c:v>612000</c:v>
                      </c:pt>
                      <c:pt idx="50">
                        <c:v>624000</c:v>
                      </c:pt>
                      <c:pt idx="51">
                        <c:v>477000</c:v>
                      </c:pt>
                      <c:pt idx="52">
                        <c:v>486000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13E-4A6F-B928-DFD3B90CADC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Summary!$H$3:$H$4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Summary!$E$5:$E$104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Summary!$H$5:$H$104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7200</c:v>
                      </c:pt>
                      <c:pt idx="1">
                        <c:v>7200</c:v>
                      </c:pt>
                      <c:pt idx="2">
                        <c:v>7200</c:v>
                      </c:pt>
                      <c:pt idx="3">
                        <c:v>7200</c:v>
                      </c:pt>
                      <c:pt idx="4">
                        <c:v>7200</c:v>
                      </c:pt>
                      <c:pt idx="5">
                        <c:v>7200</c:v>
                      </c:pt>
                      <c:pt idx="6">
                        <c:v>14400</c:v>
                      </c:pt>
                      <c:pt idx="7">
                        <c:v>14400</c:v>
                      </c:pt>
                      <c:pt idx="8">
                        <c:v>28800</c:v>
                      </c:pt>
                      <c:pt idx="9">
                        <c:v>36000</c:v>
                      </c:pt>
                      <c:pt idx="10">
                        <c:v>36000</c:v>
                      </c:pt>
                      <c:pt idx="11">
                        <c:v>36000</c:v>
                      </c:pt>
                      <c:pt idx="12">
                        <c:v>36000</c:v>
                      </c:pt>
                      <c:pt idx="13">
                        <c:v>36000</c:v>
                      </c:pt>
                      <c:pt idx="14">
                        <c:v>36000</c:v>
                      </c:pt>
                      <c:pt idx="15">
                        <c:v>36000</c:v>
                      </c:pt>
                      <c:pt idx="16">
                        <c:v>43200</c:v>
                      </c:pt>
                      <c:pt idx="17">
                        <c:v>50400</c:v>
                      </c:pt>
                      <c:pt idx="18">
                        <c:v>64800</c:v>
                      </c:pt>
                      <c:pt idx="19">
                        <c:v>64800</c:v>
                      </c:pt>
                      <c:pt idx="20">
                        <c:v>72000</c:v>
                      </c:pt>
                      <c:pt idx="21">
                        <c:v>72000</c:v>
                      </c:pt>
                      <c:pt idx="22">
                        <c:v>86400</c:v>
                      </c:pt>
                      <c:pt idx="23">
                        <c:v>93600</c:v>
                      </c:pt>
                      <c:pt idx="24">
                        <c:v>108000</c:v>
                      </c:pt>
                      <c:pt idx="25">
                        <c:v>108000</c:v>
                      </c:pt>
                      <c:pt idx="26">
                        <c:v>108000</c:v>
                      </c:pt>
                      <c:pt idx="27">
                        <c:v>115200</c:v>
                      </c:pt>
                      <c:pt idx="28">
                        <c:v>129600</c:v>
                      </c:pt>
                      <c:pt idx="29">
                        <c:v>136800</c:v>
                      </c:pt>
                      <c:pt idx="30">
                        <c:v>144000</c:v>
                      </c:pt>
                      <c:pt idx="31">
                        <c:v>144000</c:v>
                      </c:pt>
                      <c:pt idx="32">
                        <c:v>144000</c:v>
                      </c:pt>
                      <c:pt idx="33">
                        <c:v>144000</c:v>
                      </c:pt>
                      <c:pt idx="34">
                        <c:v>144000</c:v>
                      </c:pt>
                      <c:pt idx="35">
                        <c:v>144000</c:v>
                      </c:pt>
                      <c:pt idx="36">
                        <c:v>158400</c:v>
                      </c:pt>
                      <c:pt idx="37">
                        <c:v>158400</c:v>
                      </c:pt>
                      <c:pt idx="38">
                        <c:v>165600</c:v>
                      </c:pt>
                      <c:pt idx="39">
                        <c:v>158400</c:v>
                      </c:pt>
                      <c:pt idx="40">
                        <c:v>158400</c:v>
                      </c:pt>
                      <c:pt idx="41">
                        <c:v>144000</c:v>
                      </c:pt>
                      <c:pt idx="42">
                        <c:v>136800</c:v>
                      </c:pt>
                      <c:pt idx="43">
                        <c:v>122400</c:v>
                      </c:pt>
                      <c:pt idx="44">
                        <c:v>122400</c:v>
                      </c:pt>
                      <c:pt idx="45">
                        <c:v>122400</c:v>
                      </c:pt>
                      <c:pt idx="46">
                        <c:v>108000</c:v>
                      </c:pt>
                      <c:pt idx="47">
                        <c:v>108000</c:v>
                      </c:pt>
                      <c:pt idx="48">
                        <c:v>100800</c:v>
                      </c:pt>
                      <c:pt idx="49">
                        <c:v>100800</c:v>
                      </c:pt>
                      <c:pt idx="50">
                        <c:v>100800</c:v>
                      </c:pt>
                      <c:pt idx="51">
                        <c:v>93600</c:v>
                      </c:pt>
                      <c:pt idx="52">
                        <c:v>79200</c:v>
                      </c:pt>
                      <c:pt idx="53">
                        <c:v>79200</c:v>
                      </c:pt>
                      <c:pt idx="54">
                        <c:v>72000</c:v>
                      </c:pt>
                      <c:pt idx="55">
                        <c:v>72000</c:v>
                      </c:pt>
                      <c:pt idx="56">
                        <c:v>64800</c:v>
                      </c:pt>
                      <c:pt idx="57">
                        <c:v>64800</c:v>
                      </c:pt>
                      <c:pt idx="58">
                        <c:v>50400</c:v>
                      </c:pt>
                      <c:pt idx="59">
                        <c:v>50400</c:v>
                      </c:pt>
                      <c:pt idx="60">
                        <c:v>43200</c:v>
                      </c:pt>
                      <c:pt idx="61">
                        <c:v>36000</c:v>
                      </c:pt>
                      <c:pt idx="62">
                        <c:v>36000</c:v>
                      </c:pt>
                      <c:pt idx="63">
                        <c:v>36000</c:v>
                      </c:pt>
                      <c:pt idx="64">
                        <c:v>21600</c:v>
                      </c:pt>
                      <c:pt idx="65">
                        <c:v>21600</c:v>
                      </c:pt>
                      <c:pt idx="66">
                        <c:v>21600</c:v>
                      </c:pt>
                      <c:pt idx="67">
                        <c:v>21600</c:v>
                      </c:pt>
                      <c:pt idx="68">
                        <c:v>7200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13E-4A6F-B928-DFD3B90CADC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Summary!$I$3:$I$4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Summary!$E$5:$E$104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Summary!$I$5:$I$104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540000</c:v>
                      </c:pt>
                      <c:pt idx="19">
                        <c:v>549000</c:v>
                      </c:pt>
                      <c:pt idx="20">
                        <c:v>558000</c:v>
                      </c:pt>
                      <c:pt idx="21">
                        <c:v>567000</c:v>
                      </c:pt>
                      <c:pt idx="22">
                        <c:v>576000</c:v>
                      </c:pt>
                      <c:pt idx="23">
                        <c:v>585000</c:v>
                      </c:pt>
                      <c:pt idx="24">
                        <c:v>594000</c:v>
                      </c:pt>
                      <c:pt idx="25">
                        <c:v>603000</c:v>
                      </c:pt>
                      <c:pt idx="26">
                        <c:v>612000</c:v>
                      </c:pt>
                      <c:pt idx="27">
                        <c:v>621000</c:v>
                      </c:pt>
                      <c:pt idx="28">
                        <c:v>630000</c:v>
                      </c:pt>
                      <c:pt idx="29">
                        <c:v>639000</c:v>
                      </c:pt>
                      <c:pt idx="30">
                        <c:v>648000</c:v>
                      </c:pt>
                      <c:pt idx="31">
                        <c:v>657000</c:v>
                      </c:pt>
                      <c:pt idx="32">
                        <c:v>666000</c:v>
                      </c:pt>
                      <c:pt idx="33">
                        <c:v>675000</c:v>
                      </c:pt>
                      <c:pt idx="34">
                        <c:v>684000</c:v>
                      </c:pt>
                      <c:pt idx="35">
                        <c:v>693000</c:v>
                      </c:pt>
                      <c:pt idx="36">
                        <c:v>702000</c:v>
                      </c:pt>
                      <c:pt idx="37">
                        <c:v>711000</c:v>
                      </c:pt>
                      <c:pt idx="38">
                        <c:v>720000</c:v>
                      </c:pt>
                      <c:pt idx="39">
                        <c:v>729000</c:v>
                      </c:pt>
                      <c:pt idx="40">
                        <c:v>738000</c:v>
                      </c:pt>
                      <c:pt idx="41">
                        <c:v>747000</c:v>
                      </c:pt>
                      <c:pt idx="42">
                        <c:v>756000</c:v>
                      </c:pt>
                      <c:pt idx="43">
                        <c:v>765000</c:v>
                      </c:pt>
                      <c:pt idx="44">
                        <c:v>774000</c:v>
                      </c:pt>
                      <c:pt idx="45">
                        <c:v>696000</c:v>
                      </c:pt>
                      <c:pt idx="46">
                        <c:v>704000</c:v>
                      </c:pt>
                      <c:pt idx="47">
                        <c:v>712000</c:v>
                      </c:pt>
                      <c:pt idx="48">
                        <c:v>720000</c:v>
                      </c:pt>
                      <c:pt idx="49">
                        <c:v>728000</c:v>
                      </c:pt>
                      <c:pt idx="50">
                        <c:v>736000</c:v>
                      </c:pt>
                      <c:pt idx="51">
                        <c:v>651000</c:v>
                      </c:pt>
                      <c:pt idx="52">
                        <c:v>658000</c:v>
                      </c:pt>
                      <c:pt idx="53">
                        <c:v>570000</c:v>
                      </c:pt>
                      <c:pt idx="54">
                        <c:v>480000</c:v>
                      </c:pt>
                      <c:pt idx="55">
                        <c:v>485000</c:v>
                      </c:pt>
                      <c:pt idx="56">
                        <c:v>392000</c:v>
                      </c:pt>
                      <c:pt idx="57">
                        <c:v>396000</c:v>
                      </c:pt>
                      <c:pt idx="58">
                        <c:v>300000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13E-4A6F-B928-DFD3B90CADC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Summary!$J$3:$J$4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Summary!$E$5:$E$104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Summary!$J$5:$J$104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0</c:v>
                      </c:pt>
                      <c:pt idx="1">
                        <c:v>19000</c:v>
                      </c:pt>
                      <c:pt idx="2">
                        <c:v>19000</c:v>
                      </c:pt>
                      <c:pt idx="3">
                        <c:v>19000</c:v>
                      </c:pt>
                      <c:pt idx="4">
                        <c:v>19000</c:v>
                      </c:pt>
                      <c:pt idx="5">
                        <c:v>38000</c:v>
                      </c:pt>
                      <c:pt idx="6">
                        <c:v>38000</c:v>
                      </c:pt>
                      <c:pt idx="7">
                        <c:v>38000</c:v>
                      </c:pt>
                      <c:pt idx="8">
                        <c:v>38000</c:v>
                      </c:pt>
                      <c:pt idx="9">
                        <c:v>44000</c:v>
                      </c:pt>
                      <c:pt idx="10">
                        <c:v>50000</c:v>
                      </c:pt>
                      <c:pt idx="11">
                        <c:v>50000</c:v>
                      </c:pt>
                      <c:pt idx="12">
                        <c:v>25000</c:v>
                      </c:pt>
                      <c:pt idx="13">
                        <c:v>44000</c:v>
                      </c:pt>
                      <c:pt idx="14">
                        <c:v>44000</c:v>
                      </c:pt>
                      <c:pt idx="15">
                        <c:v>63000</c:v>
                      </c:pt>
                      <c:pt idx="16">
                        <c:v>63000</c:v>
                      </c:pt>
                      <c:pt idx="17">
                        <c:v>63000</c:v>
                      </c:pt>
                      <c:pt idx="18">
                        <c:v>63000</c:v>
                      </c:pt>
                      <c:pt idx="19">
                        <c:v>82000</c:v>
                      </c:pt>
                      <c:pt idx="20">
                        <c:v>57000</c:v>
                      </c:pt>
                      <c:pt idx="21">
                        <c:v>76000</c:v>
                      </c:pt>
                      <c:pt idx="22">
                        <c:v>82000</c:v>
                      </c:pt>
                      <c:pt idx="23">
                        <c:v>82000</c:v>
                      </c:pt>
                      <c:pt idx="24">
                        <c:v>82000</c:v>
                      </c:pt>
                      <c:pt idx="25">
                        <c:v>101000</c:v>
                      </c:pt>
                      <c:pt idx="26">
                        <c:v>101000</c:v>
                      </c:pt>
                      <c:pt idx="27">
                        <c:v>101000</c:v>
                      </c:pt>
                      <c:pt idx="28">
                        <c:v>107000</c:v>
                      </c:pt>
                      <c:pt idx="29">
                        <c:v>113000</c:v>
                      </c:pt>
                      <c:pt idx="30">
                        <c:v>132000</c:v>
                      </c:pt>
                      <c:pt idx="31">
                        <c:v>113000</c:v>
                      </c:pt>
                      <c:pt idx="32">
                        <c:v>113000</c:v>
                      </c:pt>
                      <c:pt idx="33">
                        <c:v>119000</c:v>
                      </c:pt>
                      <c:pt idx="34">
                        <c:v>119000</c:v>
                      </c:pt>
                      <c:pt idx="35">
                        <c:v>100000</c:v>
                      </c:pt>
                      <c:pt idx="36">
                        <c:v>100000</c:v>
                      </c:pt>
                      <c:pt idx="37">
                        <c:v>100000</c:v>
                      </c:pt>
                      <c:pt idx="38">
                        <c:v>75000</c:v>
                      </c:pt>
                      <c:pt idx="39">
                        <c:v>50000</c:v>
                      </c:pt>
                      <c:pt idx="40">
                        <c:v>50000</c:v>
                      </c:pt>
                      <c:pt idx="41">
                        <c:v>25000</c:v>
                      </c:pt>
                      <c:pt idx="42">
                        <c:v>25000</c:v>
                      </c:pt>
                      <c:pt idx="43">
                        <c:v>25000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13E-4A6F-B928-DFD3B90CADC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Summary!$K$3:$K$4</c15:sqref>
                        </c15:formulaRef>
                      </c:ext>
                    </c:extLst>
                    <c:strCache>
                      <c:ptCount val="2"/>
                      <c:pt idx="0">
                        <c:v>6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Summary!$E$5:$E$104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Summary!$K$5:$K$104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5000</c:v>
                      </c:pt>
                      <c:pt idx="11">
                        <c:v>5000</c:v>
                      </c:pt>
                      <c:pt idx="12">
                        <c:v>5000</c:v>
                      </c:pt>
                      <c:pt idx="13">
                        <c:v>5000</c:v>
                      </c:pt>
                      <c:pt idx="14">
                        <c:v>5000</c:v>
                      </c:pt>
                      <c:pt idx="15">
                        <c:v>25000</c:v>
                      </c:pt>
                      <c:pt idx="16">
                        <c:v>30000</c:v>
                      </c:pt>
                      <c:pt idx="17">
                        <c:v>30000</c:v>
                      </c:pt>
                      <c:pt idx="18">
                        <c:v>30000</c:v>
                      </c:pt>
                      <c:pt idx="19">
                        <c:v>30000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24285.714285714286</c:v>
                      </c:pt>
                      <c:pt idx="26">
                        <c:v>24285.714285714286</c:v>
                      </c:pt>
                      <c:pt idx="27">
                        <c:v>24285.714285714286</c:v>
                      </c:pt>
                      <c:pt idx="28">
                        <c:v>24285.714285714286</c:v>
                      </c:pt>
                      <c:pt idx="29">
                        <c:v>24285.714285714286</c:v>
                      </c:pt>
                      <c:pt idx="30">
                        <c:v>19285.714285714286</c:v>
                      </c:pt>
                      <c:pt idx="31">
                        <c:v>24841.269841269841</c:v>
                      </c:pt>
                      <c:pt idx="32">
                        <c:v>10555.555555555555</c:v>
                      </c:pt>
                      <c:pt idx="33">
                        <c:v>10555.555555555555</c:v>
                      </c:pt>
                      <c:pt idx="34">
                        <c:v>10555.555555555555</c:v>
                      </c:pt>
                      <c:pt idx="35">
                        <c:v>10555.555555555555</c:v>
                      </c:pt>
                      <c:pt idx="36">
                        <c:v>5555.5555555555557</c:v>
                      </c:pt>
                      <c:pt idx="37">
                        <c:v>5555.5555555555557</c:v>
                      </c:pt>
                      <c:pt idx="38">
                        <c:v>5555.5555555555557</c:v>
                      </c:pt>
                      <c:pt idx="39">
                        <c:v>5555.5555555555557</c:v>
                      </c:pt>
                      <c:pt idx="40">
                        <c:v>5555.5555555555557</c:v>
                      </c:pt>
                      <c:pt idx="41">
                        <c:v>5555.5555555555557</c:v>
                      </c:pt>
                      <c:pt idx="42">
                        <c:v>5555.5555555555557</c:v>
                      </c:pt>
                      <c:pt idx="43">
                        <c:v>5555.5555555555557</c:v>
                      </c:pt>
                      <c:pt idx="44">
                        <c:v>5555.5555555555557</c:v>
                      </c:pt>
                      <c:pt idx="45">
                        <c:v>5555.5555555555557</c:v>
                      </c:pt>
                      <c:pt idx="46">
                        <c:v>5555.5555555555557</c:v>
                      </c:pt>
                      <c:pt idx="47">
                        <c:v>5555.5555555555557</c:v>
                      </c:pt>
                      <c:pt idx="48">
                        <c:v>5555.5555555555557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213E-4A6F-B928-DFD3B90CADC9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Summary!$L$3:$L$4</c15:sqref>
                        </c15:formulaRef>
                      </c:ext>
                    </c:extLst>
                    <c:strCache>
                      <c:ptCount val="2"/>
                      <c:pt idx="0">
                        <c:v>7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Summary!$E$5:$E$104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Summary!$L$5:$L$104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60000</c:v>
                      </c:pt>
                      <c:pt idx="5">
                        <c:v>0</c:v>
                      </c:pt>
                      <c:pt idx="6">
                        <c:v>90000</c:v>
                      </c:pt>
                      <c:pt idx="7">
                        <c:v>0</c:v>
                      </c:pt>
                      <c:pt idx="8">
                        <c:v>120000</c:v>
                      </c:pt>
                      <c:pt idx="9">
                        <c:v>0</c:v>
                      </c:pt>
                      <c:pt idx="10">
                        <c:v>120000</c:v>
                      </c:pt>
                      <c:pt idx="11">
                        <c:v>0</c:v>
                      </c:pt>
                      <c:pt idx="12">
                        <c:v>120000</c:v>
                      </c:pt>
                      <c:pt idx="13">
                        <c:v>0</c:v>
                      </c:pt>
                      <c:pt idx="14">
                        <c:v>90000</c:v>
                      </c:pt>
                      <c:pt idx="15">
                        <c:v>60000</c:v>
                      </c:pt>
                      <c:pt idx="16">
                        <c:v>90000</c:v>
                      </c:pt>
                      <c:pt idx="17">
                        <c:v>90000</c:v>
                      </c:pt>
                      <c:pt idx="18">
                        <c:v>120000</c:v>
                      </c:pt>
                      <c:pt idx="19">
                        <c:v>150000</c:v>
                      </c:pt>
                      <c:pt idx="20">
                        <c:v>90000</c:v>
                      </c:pt>
                      <c:pt idx="21">
                        <c:v>180000</c:v>
                      </c:pt>
                      <c:pt idx="22">
                        <c:v>120000</c:v>
                      </c:pt>
                      <c:pt idx="23">
                        <c:v>120000</c:v>
                      </c:pt>
                      <c:pt idx="24">
                        <c:v>90000</c:v>
                      </c:pt>
                      <c:pt idx="25">
                        <c:v>90000</c:v>
                      </c:pt>
                      <c:pt idx="26">
                        <c:v>90000</c:v>
                      </c:pt>
                      <c:pt idx="27">
                        <c:v>120000</c:v>
                      </c:pt>
                      <c:pt idx="28">
                        <c:v>90000</c:v>
                      </c:pt>
                      <c:pt idx="29">
                        <c:v>120000</c:v>
                      </c:pt>
                      <c:pt idx="30">
                        <c:v>90000</c:v>
                      </c:pt>
                      <c:pt idx="31">
                        <c:v>120000</c:v>
                      </c:pt>
                      <c:pt idx="32">
                        <c:v>90000</c:v>
                      </c:pt>
                      <c:pt idx="33">
                        <c:v>30000</c:v>
                      </c:pt>
                      <c:pt idx="34">
                        <c:v>60000</c:v>
                      </c:pt>
                      <c:pt idx="35">
                        <c:v>30000</c:v>
                      </c:pt>
                      <c:pt idx="36">
                        <c:v>60000</c:v>
                      </c:pt>
                      <c:pt idx="37">
                        <c:v>30000</c:v>
                      </c:pt>
                      <c:pt idx="38">
                        <c:v>30000</c:v>
                      </c:pt>
                      <c:pt idx="39">
                        <c:v>30000</c:v>
                      </c:pt>
                      <c:pt idx="40">
                        <c:v>30000</c:v>
                      </c:pt>
                      <c:pt idx="41">
                        <c:v>30000</c:v>
                      </c:pt>
                      <c:pt idx="42">
                        <c:v>30000</c:v>
                      </c:pt>
                      <c:pt idx="43">
                        <c:v>30000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213E-4A6F-B928-DFD3B90CADC9}"/>
                  </c:ext>
                </c:extLst>
              </c15:ser>
            </c15:filteredLineSeries>
          </c:ext>
        </c:extLst>
      </c:lineChart>
      <c:catAx>
        <c:axId val="553318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Years</a:t>
                </a:r>
              </a:p>
            </c:rich>
          </c:tx>
          <c:layout>
            <c:manualLayout>
              <c:xMode val="edge"/>
              <c:yMode val="edge"/>
              <c:x val="0.4770888013998249"/>
              <c:y val="0.7646035612454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095328"/>
        <c:crosses val="autoZero"/>
        <c:auto val="1"/>
        <c:lblAlgn val="ctr"/>
        <c:lblOffset val="100"/>
        <c:noMultiLvlLbl val="0"/>
      </c:catAx>
      <c:valAx>
        <c:axId val="39809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31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434340</xdr:colOff>
      <xdr:row>3</xdr:row>
      <xdr:rowOff>175260</xdr:rowOff>
    </xdr:from>
    <xdr:to>
      <xdr:col>12</xdr:col>
      <xdr:colOff>129540</xdr:colOff>
      <xdr:row>6</xdr:row>
      <xdr:rowOff>137160</xdr:rowOff>
    </xdr:to>
    <xdr:sp macro="[0]!Payments.Payments" textlink="">
      <xdr:nvSpPr>
        <xdr:cNvPr id="2" name="Rounded Rectangle 1"/>
        <xdr:cNvSpPr/>
      </xdr:nvSpPr>
      <xdr:spPr>
        <a:xfrm>
          <a:off x="6560820" y="723900"/>
          <a:ext cx="3352800" cy="5105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400"/>
            <a:t>Calculate all payments</a:t>
          </a:r>
        </a:p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320040</xdr:colOff>
      <xdr:row>4</xdr:row>
      <xdr:rowOff>7620</xdr:rowOff>
    </xdr:from>
    <xdr:to>
      <xdr:col>6</xdr:col>
      <xdr:colOff>365760</xdr:colOff>
      <xdr:row>16</xdr:row>
      <xdr:rowOff>175260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205740</xdr:colOff>
      <xdr:row>4</xdr:row>
      <xdr:rowOff>15240</xdr:rowOff>
    </xdr:from>
    <xdr:to>
      <xdr:col>14</xdr:col>
      <xdr:colOff>259080</xdr:colOff>
      <xdr:row>16</xdr:row>
      <xdr:rowOff>175260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</xdr:colOff>
      <xdr:row>18</xdr:row>
      <xdr:rowOff>0</xdr:rowOff>
    </xdr:from>
    <xdr:to>
      <xdr:col>11</xdr:col>
      <xdr:colOff>83820</xdr:colOff>
      <xdr:row>30</xdr:row>
      <xdr:rowOff>160020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H105"/>
  <sheetViews>
    <sheetView workbookViewId="0">
      <selection activeCell="F105" sqref="F105"/>
    </sheetView>
  </sheetViews>
  <sheetFormatPr defaultRowHeight="14.4" x14ac:dyDescent="0.3"/>
  <cols>
    <col min="1" max="1" width="20.77734375" bestFit="1" customWidth="1"/>
    <col min="2" max="2" width="22.109375" bestFit="1" customWidth="1"/>
    <col min="4" max="5" width="11.5546875" customWidth="1"/>
    <col min="6" max="6" width="19.5546875" bestFit="1" customWidth="1"/>
    <col min="8" max="8" width="17.88671875" bestFit="1" customWidth="1"/>
  </cols>
  <sheetData>
    <row r="3" spans="1:8" x14ac:dyDescent="0.3">
      <c r="D3" s="1" t="s">
        <v>2</v>
      </c>
      <c r="E3" s="1" t="s">
        <v>3</v>
      </c>
      <c r="F3" s="1" t="s">
        <v>4</v>
      </c>
    </row>
    <row r="4" spans="1:8" x14ac:dyDescent="0.3">
      <c r="B4" s="1" t="s">
        <v>1</v>
      </c>
      <c r="D4">
        <f>B8</f>
        <v>61</v>
      </c>
      <c r="E4">
        <v>1</v>
      </c>
      <c r="F4">
        <f t="shared" ref="F4:F35" si="0">IF(E4="","",HLOOKUP($B$5,Policy,E4+1,FALSE))</f>
        <v>0</v>
      </c>
      <c r="H4" s="1" t="s">
        <v>6</v>
      </c>
    </row>
    <row r="5" spans="1:8" x14ac:dyDescent="0.3">
      <c r="A5" t="s">
        <v>9</v>
      </c>
      <c r="B5" s="4">
        <v>3</v>
      </c>
      <c r="D5">
        <f>IF(E5="","",D4+1)</f>
        <v>62</v>
      </c>
      <c r="E5">
        <f>IF(E4="","",IF($B$8+E4&lt;=110,E4+1,""))</f>
        <v>2</v>
      </c>
      <c r="F5">
        <f t="shared" si="0"/>
        <v>0</v>
      </c>
      <c r="H5" s="2">
        <f>SUM(F4:F80)</f>
        <v>144000</v>
      </c>
    </row>
    <row r="6" spans="1:8" x14ac:dyDescent="0.3">
      <c r="D6">
        <f t="shared" ref="D6:D69" si="1">IF(E6="","",D5+1)</f>
        <v>63</v>
      </c>
      <c r="E6">
        <f t="shared" ref="E6:E69" si="2">IF(E5="","",IF($B$8+E5&lt;=110,E5+1,""))</f>
        <v>3</v>
      </c>
      <c r="F6">
        <f t="shared" si="0"/>
        <v>0</v>
      </c>
    </row>
    <row r="7" spans="1:8" x14ac:dyDescent="0.3">
      <c r="B7" s="1" t="s">
        <v>0</v>
      </c>
      <c r="D7">
        <f t="shared" si="1"/>
        <v>64</v>
      </c>
      <c r="E7">
        <f t="shared" si="2"/>
        <v>4</v>
      </c>
      <c r="F7">
        <f t="shared" si="0"/>
        <v>0</v>
      </c>
      <c r="H7" s="1" t="s">
        <v>5</v>
      </c>
    </row>
    <row r="8" spans="1:8" x14ac:dyDescent="0.3">
      <c r="A8" t="s">
        <v>7</v>
      </c>
      <c r="B8" s="4">
        <v>61</v>
      </c>
      <c r="D8">
        <f t="shared" si="1"/>
        <v>65</v>
      </c>
      <c r="E8">
        <f t="shared" si="2"/>
        <v>5</v>
      </c>
      <c r="F8">
        <f t="shared" si="0"/>
        <v>0</v>
      </c>
      <c r="H8" s="2">
        <f>COUNTIF(F4:F80,"&gt;0")</f>
        <v>20</v>
      </c>
    </row>
    <row r="9" spans="1:8" x14ac:dyDescent="0.3">
      <c r="D9">
        <f t="shared" si="1"/>
        <v>66</v>
      </c>
      <c r="E9">
        <f t="shared" si="2"/>
        <v>6</v>
      </c>
      <c r="F9">
        <f t="shared" si="0"/>
        <v>0</v>
      </c>
    </row>
    <row r="10" spans="1:8" x14ac:dyDescent="0.3">
      <c r="B10" s="1" t="s">
        <v>8</v>
      </c>
      <c r="D10">
        <f t="shared" si="1"/>
        <v>67</v>
      </c>
      <c r="E10">
        <f t="shared" si="2"/>
        <v>7</v>
      </c>
      <c r="F10">
        <f t="shared" si="0"/>
        <v>0</v>
      </c>
      <c r="H10" s="1" t="s">
        <v>10</v>
      </c>
    </row>
    <row r="11" spans="1:8" x14ac:dyDescent="0.3">
      <c r="A11" t="s">
        <v>7</v>
      </c>
      <c r="B11" s="4">
        <v>70</v>
      </c>
      <c r="D11">
        <f t="shared" si="1"/>
        <v>68</v>
      </c>
      <c r="E11">
        <f t="shared" si="2"/>
        <v>8</v>
      </c>
      <c r="F11">
        <f t="shared" si="0"/>
        <v>0</v>
      </c>
      <c r="H11" s="2">
        <f>IF(OR($B$5=1,5,6,7),$B$11+$B$14-1,IF($B$5=2,94,IF($B$5=3,110,100)))</f>
        <v>69</v>
      </c>
    </row>
    <row r="12" spans="1:8" x14ac:dyDescent="0.3">
      <c r="D12">
        <f t="shared" si="1"/>
        <v>69</v>
      </c>
      <c r="E12">
        <f t="shared" si="2"/>
        <v>9</v>
      </c>
      <c r="F12">
        <f t="shared" si="0"/>
        <v>0</v>
      </c>
    </row>
    <row r="13" spans="1:8" x14ac:dyDescent="0.3">
      <c r="B13" s="1" t="s">
        <v>14</v>
      </c>
      <c r="D13">
        <f t="shared" si="1"/>
        <v>70</v>
      </c>
      <c r="E13">
        <f t="shared" si="2"/>
        <v>10</v>
      </c>
      <c r="F13">
        <f t="shared" si="0"/>
        <v>0</v>
      </c>
    </row>
    <row r="14" spans="1:8" x14ac:dyDescent="0.3">
      <c r="A14" t="s">
        <v>15</v>
      </c>
      <c r="B14" s="4"/>
      <c r="D14">
        <f t="shared" si="1"/>
        <v>71</v>
      </c>
      <c r="E14">
        <f t="shared" si="2"/>
        <v>11</v>
      </c>
      <c r="F14">
        <f t="shared" si="0"/>
        <v>0</v>
      </c>
    </row>
    <row r="15" spans="1:8" x14ac:dyDescent="0.3">
      <c r="D15">
        <f t="shared" si="1"/>
        <v>72</v>
      </c>
      <c r="E15">
        <f t="shared" si="2"/>
        <v>12</v>
      </c>
      <c r="F15">
        <f t="shared" si="0"/>
        <v>0</v>
      </c>
    </row>
    <row r="16" spans="1:8" x14ac:dyDescent="0.3">
      <c r="B16" s="1" t="s">
        <v>16</v>
      </c>
      <c r="D16">
        <f t="shared" si="1"/>
        <v>73</v>
      </c>
      <c r="E16">
        <f t="shared" si="2"/>
        <v>13</v>
      </c>
      <c r="F16">
        <f t="shared" si="0"/>
        <v>0</v>
      </c>
    </row>
    <row r="17" spans="1:6" x14ac:dyDescent="0.3">
      <c r="A17" t="s">
        <v>17</v>
      </c>
      <c r="B17" s="4">
        <f>IF(B5="Plan 2",20,IF(B5="Plan 3",110-B11,40))</f>
        <v>40</v>
      </c>
      <c r="D17">
        <f t="shared" si="1"/>
        <v>74</v>
      </c>
      <c r="E17">
        <f t="shared" si="2"/>
        <v>14</v>
      </c>
      <c r="F17">
        <f t="shared" si="0"/>
        <v>0</v>
      </c>
    </row>
    <row r="18" spans="1:6" x14ac:dyDescent="0.3">
      <c r="D18">
        <f t="shared" si="1"/>
        <v>75</v>
      </c>
      <c r="E18">
        <f t="shared" si="2"/>
        <v>15</v>
      </c>
      <c r="F18">
        <f t="shared" si="0"/>
        <v>0</v>
      </c>
    </row>
    <row r="19" spans="1:6" x14ac:dyDescent="0.3">
      <c r="D19">
        <f t="shared" si="1"/>
        <v>76</v>
      </c>
      <c r="E19">
        <f t="shared" si="2"/>
        <v>16</v>
      </c>
      <c r="F19">
        <f t="shared" si="0"/>
        <v>0</v>
      </c>
    </row>
    <row r="20" spans="1:6" x14ac:dyDescent="0.3">
      <c r="D20">
        <f t="shared" si="1"/>
        <v>77</v>
      </c>
      <c r="E20">
        <f t="shared" si="2"/>
        <v>17</v>
      </c>
      <c r="F20">
        <f t="shared" si="0"/>
        <v>0</v>
      </c>
    </row>
    <row r="21" spans="1:6" x14ac:dyDescent="0.3">
      <c r="D21">
        <f t="shared" si="1"/>
        <v>78</v>
      </c>
      <c r="E21">
        <f t="shared" si="2"/>
        <v>18</v>
      </c>
      <c r="F21">
        <f t="shared" si="0"/>
        <v>0</v>
      </c>
    </row>
    <row r="22" spans="1:6" x14ac:dyDescent="0.3">
      <c r="D22">
        <f t="shared" si="1"/>
        <v>79</v>
      </c>
      <c r="E22">
        <f t="shared" si="2"/>
        <v>19</v>
      </c>
      <c r="F22">
        <f t="shared" si="0"/>
        <v>0</v>
      </c>
    </row>
    <row r="23" spans="1:6" x14ac:dyDescent="0.3">
      <c r="D23">
        <f t="shared" si="1"/>
        <v>80</v>
      </c>
      <c r="E23">
        <f t="shared" si="2"/>
        <v>20</v>
      </c>
      <c r="F23">
        <f t="shared" si="0"/>
        <v>0</v>
      </c>
    </row>
    <row r="24" spans="1:6" x14ac:dyDescent="0.3">
      <c r="D24">
        <f t="shared" si="1"/>
        <v>81</v>
      </c>
      <c r="E24">
        <f t="shared" si="2"/>
        <v>21</v>
      </c>
      <c r="F24">
        <f t="shared" si="0"/>
        <v>0</v>
      </c>
    </row>
    <row r="25" spans="1:6" x14ac:dyDescent="0.3">
      <c r="D25">
        <f t="shared" si="1"/>
        <v>82</v>
      </c>
      <c r="E25">
        <f t="shared" si="2"/>
        <v>22</v>
      </c>
      <c r="F25">
        <f t="shared" si="0"/>
        <v>0</v>
      </c>
    </row>
    <row r="26" spans="1:6" x14ac:dyDescent="0.3">
      <c r="D26">
        <f t="shared" si="1"/>
        <v>83</v>
      </c>
      <c r="E26">
        <f t="shared" si="2"/>
        <v>23</v>
      </c>
      <c r="F26">
        <f t="shared" si="0"/>
        <v>0</v>
      </c>
    </row>
    <row r="27" spans="1:6" x14ac:dyDescent="0.3">
      <c r="D27">
        <f t="shared" si="1"/>
        <v>84</v>
      </c>
      <c r="E27">
        <f t="shared" si="2"/>
        <v>24</v>
      </c>
      <c r="F27">
        <f t="shared" si="0"/>
        <v>0</v>
      </c>
    </row>
    <row r="28" spans="1:6" x14ac:dyDescent="0.3">
      <c r="D28">
        <f t="shared" si="1"/>
        <v>85</v>
      </c>
      <c r="E28">
        <f t="shared" si="2"/>
        <v>25</v>
      </c>
      <c r="F28">
        <f t="shared" si="0"/>
        <v>0</v>
      </c>
    </row>
    <row r="29" spans="1:6" x14ac:dyDescent="0.3">
      <c r="D29">
        <f t="shared" si="1"/>
        <v>86</v>
      </c>
      <c r="E29">
        <f t="shared" si="2"/>
        <v>26</v>
      </c>
      <c r="F29">
        <f t="shared" si="0"/>
        <v>0</v>
      </c>
    </row>
    <row r="30" spans="1:6" x14ac:dyDescent="0.3">
      <c r="D30">
        <f t="shared" si="1"/>
        <v>87</v>
      </c>
      <c r="E30">
        <f t="shared" si="2"/>
        <v>27</v>
      </c>
      <c r="F30">
        <f t="shared" si="0"/>
        <v>0</v>
      </c>
    </row>
    <row r="31" spans="1:6" x14ac:dyDescent="0.3">
      <c r="D31">
        <f t="shared" si="1"/>
        <v>88</v>
      </c>
      <c r="E31">
        <f t="shared" si="2"/>
        <v>28</v>
      </c>
      <c r="F31">
        <f t="shared" si="0"/>
        <v>0</v>
      </c>
    </row>
    <row r="32" spans="1:6" x14ac:dyDescent="0.3">
      <c r="D32">
        <f t="shared" si="1"/>
        <v>89</v>
      </c>
      <c r="E32">
        <f t="shared" si="2"/>
        <v>29</v>
      </c>
      <c r="F32">
        <f t="shared" si="0"/>
        <v>0</v>
      </c>
    </row>
    <row r="33" spans="4:6" x14ac:dyDescent="0.3">
      <c r="D33">
        <f t="shared" si="1"/>
        <v>90</v>
      </c>
      <c r="E33">
        <f t="shared" si="2"/>
        <v>30</v>
      </c>
      <c r="F33">
        <f t="shared" si="0"/>
        <v>0</v>
      </c>
    </row>
    <row r="34" spans="4:6" x14ac:dyDescent="0.3">
      <c r="D34">
        <f t="shared" si="1"/>
        <v>91</v>
      </c>
      <c r="E34">
        <f t="shared" si="2"/>
        <v>31</v>
      </c>
      <c r="F34">
        <f t="shared" si="0"/>
        <v>7200</v>
      </c>
    </row>
    <row r="35" spans="4:6" x14ac:dyDescent="0.3">
      <c r="D35">
        <f t="shared" si="1"/>
        <v>92</v>
      </c>
      <c r="E35">
        <f t="shared" si="2"/>
        <v>32</v>
      </c>
      <c r="F35">
        <f t="shared" si="0"/>
        <v>7200</v>
      </c>
    </row>
    <row r="36" spans="4:6" x14ac:dyDescent="0.3">
      <c r="D36">
        <f t="shared" si="1"/>
        <v>93</v>
      </c>
      <c r="E36">
        <f t="shared" si="2"/>
        <v>33</v>
      </c>
      <c r="F36">
        <f t="shared" ref="F36:F67" si="3">IF(E36="","",HLOOKUP($B$5,Policy,E36+1,FALSE))</f>
        <v>7200</v>
      </c>
    </row>
    <row r="37" spans="4:6" x14ac:dyDescent="0.3">
      <c r="D37">
        <f t="shared" si="1"/>
        <v>94</v>
      </c>
      <c r="E37">
        <f t="shared" si="2"/>
        <v>34</v>
      </c>
      <c r="F37">
        <f t="shared" si="3"/>
        <v>7200</v>
      </c>
    </row>
    <row r="38" spans="4:6" x14ac:dyDescent="0.3">
      <c r="D38">
        <f t="shared" si="1"/>
        <v>95</v>
      </c>
      <c r="E38">
        <f t="shared" si="2"/>
        <v>35</v>
      </c>
      <c r="F38">
        <f t="shared" si="3"/>
        <v>7200</v>
      </c>
    </row>
    <row r="39" spans="4:6" x14ac:dyDescent="0.3">
      <c r="D39">
        <f t="shared" si="1"/>
        <v>96</v>
      </c>
      <c r="E39">
        <f t="shared" si="2"/>
        <v>36</v>
      </c>
      <c r="F39">
        <f t="shared" si="3"/>
        <v>7200</v>
      </c>
    </row>
    <row r="40" spans="4:6" x14ac:dyDescent="0.3">
      <c r="D40">
        <f t="shared" si="1"/>
        <v>97</v>
      </c>
      <c r="E40">
        <f t="shared" si="2"/>
        <v>37</v>
      </c>
      <c r="F40">
        <f t="shared" si="3"/>
        <v>7200</v>
      </c>
    </row>
    <row r="41" spans="4:6" x14ac:dyDescent="0.3">
      <c r="D41">
        <f t="shared" si="1"/>
        <v>98</v>
      </c>
      <c r="E41">
        <f t="shared" si="2"/>
        <v>38</v>
      </c>
      <c r="F41">
        <f t="shared" si="3"/>
        <v>7200</v>
      </c>
    </row>
    <row r="42" spans="4:6" x14ac:dyDescent="0.3">
      <c r="D42">
        <f t="shared" si="1"/>
        <v>99</v>
      </c>
      <c r="E42">
        <f t="shared" si="2"/>
        <v>39</v>
      </c>
      <c r="F42">
        <f t="shared" si="3"/>
        <v>7200</v>
      </c>
    </row>
    <row r="43" spans="4:6" x14ac:dyDescent="0.3">
      <c r="D43">
        <f t="shared" si="1"/>
        <v>100</v>
      </c>
      <c r="E43">
        <f t="shared" si="2"/>
        <v>40</v>
      </c>
      <c r="F43">
        <f t="shared" si="3"/>
        <v>7200</v>
      </c>
    </row>
    <row r="44" spans="4:6" x14ac:dyDescent="0.3">
      <c r="D44">
        <f t="shared" si="1"/>
        <v>101</v>
      </c>
      <c r="E44">
        <f t="shared" si="2"/>
        <v>41</v>
      </c>
      <c r="F44">
        <f t="shared" si="3"/>
        <v>7200</v>
      </c>
    </row>
    <row r="45" spans="4:6" x14ac:dyDescent="0.3">
      <c r="D45">
        <f t="shared" si="1"/>
        <v>102</v>
      </c>
      <c r="E45">
        <f t="shared" si="2"/>
        <v>42</v>
      </c>
      <c r="F45">
        <f t="shared" si="3"/>
        <v>7200</v>
      </c>
    </row>
    <row r="46" spans="4:6" x14ac:dyDescent="0.3">
      <c r="D46">
        <f t="shared" si="1"/>
        <v>103</v>
      </c>
      <c r="E46">
        <f t="shared" si="2"/>
        <v>43</v>
      </c>
      <c r="F46">
        <f t="shared" si="3"/>
        <v>7200</v>
      </c>
    </row>
    <row r="47" spans="4:6" x14ac:dyDescent="0.3">
      <c r="D47">
        <f t="shared" si="1"/>
        <v>104</v>
      </c>
      <c r="E47">
        <f t="shared" si="2"/>
        <v>44</v>
      </c>
      <c r="F47">
        <f t="shared" si="3"/>
        <v>7200</v>
      </c>
    </row>
    <row r="48" spans="4:6" x14ac:dyDescent="0.3">
      <c r="D48">
        <f t="shared" si="1"/>
        <v>105</v>
      </c>
      <c r="E48">
        <f t="shared" si="2"/>
        <v>45</v>
      </c>
      <c r="F48">
        <f t="shared" si="3"/>
        <v>7200</v>
      </c>
    </row>
    <row r="49" spans="4:6" x14ac:dyDescent="0.3">
      <c r="D49">
        <f t="shared" si="1"/>
        <v>106</v>
      </c>
      <c r="E49">
        <f t="shared" si="2"/>
        <v>46</v>
      </c>
      <c r="F49">
        <f t="shared" si="3"/>
        <v>7200</v>
      </c>
    </row>
    <row r="50" spans="4:6" x14ac:dyDescent="0.3">
      <c r="D50">
        <f t="shared" si="1"/>
        <v>107</v>
      </c>
      <c r="E50">
        <f t="shared" si="2"/>
        <v>47</v>
      </c>
      <c r="F50">
        <f t="shared" si="3"/>
        <v>7200</v>
      </c>
    </row>
    <row r="51" spans="4:6" x14ac:dyDescent="0.3">
      <c r="D51">
        <f t="shared" si="1"/>
        <v>108</v>
      </c>
      <c r="E51">
        <f t="shared" si="2"/>
        <v>48</v>
      </c>
      <c r="F51">
        <f t="shared" si="3"/>
        <v>7200</v>
      </c>
    </row>
    <row r="52" spans="4:6" x14ac:dyDescent="0.3">
      <c r="D52">
        <f t="shared" si="1"/>
        <v>109</v>
      </c>
      <c r="E52">
        <f t="shared" si="2"/>
        <v>49</v>
      </c>
      <c r="F52">
        <f t="shared" si="3"/>
        <v>7200</v>
      </c>
    </row>
    <row r="53" spans="4:6" x14ac:dyDescent="0.3">
      <c r="D53">
        <f t="shared" si="1"/>
        <v>110</v>
      </c>
      <c r="E53">
        <f t="shared" si="2"/>
        <v>50</v>
      </c>
      <c r="F53">
        <f t="shared" si="3"/>
        <v>7200</v>
      </c>
    </row>
    <row r="54" spans="4:6" x14ac:dyDescent="0.3">
      <c r="D54" t="str">
        <f t="shared" si="1"/>
        <v/>
      </c>
      <c r="E54" t="str">
        <f t="shared" si="2"/>
        <v/>
      </c>
      <c r="F54" t="str">
        <f t="shared" si="3"/>
        <v/>
      </c>
    </row>
    <row r="55" spans="4:6" x14ac:dyDescent="0.3">
      <c r="D55" t="str">
        <f t="shared" si="1"/>
        <v/>
      </c>
      <c r="E55" t="str">
        <f t="shared" si="2"/>
        <v/>
      </c>
      <c r="F55" t="str">
        <f t="shared" si="3"/>
        <v/>
      </c>
    </row>
    <row r="56" spans="4:6" x14ac:dyDescent="0.3">
      <c r="D56" t="str">
        <f t="shared" si="1"/>
        <v/>
      </c>
      <c r="E56" t="str">
        <f t="shared" si="2"/>
        <v/>
      </c>
      <c r="F56" t="str">
        <f t="shared" si="3"/>
        <v/>
      </c>
    </row>
    <row r="57" spans="4:6" x14ac:dyDescent="0.3">
      <c r="D57" t="str">
        <f t="shared" si="1"/>
        <v/>
      </c>
      <c r="E57" t="str">
        <f t="shared" si="2"/>
        <v/>
      </c>
      <c r="F57" t="str">
        <f t="shared" si="3"/>
        <v/>
      </c>
    </row>
    <row r="58" spans="4:6" x14ac:dyDescent="0.3">
      <c r="D58" t="str">
        <f t="shared" si="1"/>
        <v/>
      </c>
      <c r="E58" t="str">
        <f t="shared" si="2"/>
        <v/>
      </c>
      <c r="F58" t="str">
        <f t="shared" si="3"/>
        <v/>
      </c>
    </row>
    <row r="59" spans="4:6" x14ac:dyDescent="0.3">
      <c r="D59" t="str">
        <f t="shared" si="1"/>
        <v/>
      </c>
      <c r="E59" t="str">
        <f t="shared" si="2"/>
        <v/>
      </c>
      <c r="F59" t="str">
        <f t="shared" si="3"/>
        <v/>
      </c>
    </row>
    <row r="60" spans="4:6" x14ac:dyDescent="0.3">
      <c r="D60" t="str">
        <f t="shared" si="1"/>
        <v/>
      </c>
      <c r="E60" t="str">
        <f t="shared" si="2"/>
        <v/>
      </c>
      <c r="F60" t="str">
        <f t="shared" si="3"/>
        <v/>
      </c>
    </row>
    <row r="61" spans="4:6" x14ac:dyDescent="0.3">
      <c r="D61" t="str">
        <f t="shared" si="1"/>
        <v/>
      </c>
      <c r="E61" t="str">
        <f t="shared" si="2"/>
        <v/>
      </c>
      <c r="F61" t="str">
        <f t="shared" si="3"/>
        <v/>
      </c>
    </row>
    <row r="62" spans="4:6" x14ac:dyDescent="0.3">
      <c r="D62" t="str">
        <f t="shared" si="1"/>
        <v/>
      </c>
      <c r="E62" t="str">
        <f t="shared" si="2"/>
        <v/>
      </c>
      <c r="F62" t="str">
        <f t="shared" si="3"/>
        <v/>
      </c>
    </row>
    <row r="63" spans="4:6" x14ac:dyDescent="0.3">
      <c r="D63" t="str">
        <f t="shared" si="1"/>
        <v/>
      </c>
      <c r="E63" t="str">
        <f t="shared" si="2"/>
        <v/>
      </c>
      <c r="F63" t="str">
        <f t="shared" si="3"/>
        <v/>
      </c>
    </row>
    <row r="64" spans="4:6" x14ac:dyDescent="0.3">
      <c r="D64" t="str">
        <f t="shared" si="1"/>
        <v/>
      </c>
      <c r="E64" t="str">
        <f t="shared" si="2"/>
        <v/>
      </c>
      <c r="F64" t="str">
        <f t="shared" si="3"/>
        <v/>
      </c>
    </row>
    <row r="65" spans="4:6" x14ac:dyDescent="0.3">
      <c r="D65" t="str">
        <f t="shared" si="1"/>
        <v/>
      </c>
      <c r="E65" t="str">
        <f t="shared" si="2"/>
        <v/>
      </c>
      <c r="F65" t="str">
        <f t="shared" si="3"/>
        <v/>
      </c>
    </row>
    <row r="66" spans="4:6" x14ac:dyDescent="0.3">
      <c r="D66" t="str">
        <f t="shared" si="1"/>
        <v/>
      </c>
      <c r="E66" t="str">
        <f t="shared" si="2"/>
        <v/>
      </c>
      <c r="F66" t="str">
        <f t="shared" si="3"/>
        <v/>
      </c>
    </row>
    <row r="67" spans="4:6" x14ac:dyDescent="0.3">
      <c r="D67" t="str">
        <f t="shared" si="1"/>
        <v/>
      </c>
      <c r="E67" t="str">
        <f t="shared" si="2"/>
        <v/>
      </c>
      <c r="F67" t="str">
        <f t="shared" si="3"/>
        <v/>
      </c>
    </row>
    <row r="68" spans="4:6" x14ac:dyDescent="0.3">
      <c r="D68" t="str">
        <f t="shared" si="1"/>
        <v/>
      </c>
      <c r="E68" t="str">
        <f t="shared" si="2"/>
        <v/>
      </c>
      <c r="F68" t="str">
        <f t="shared" ref="F68:F105" si="4">IF(E68="","",HLOOKUP($B$5,Policy,E68+1,FALSE))</f>
        <v/>
      </c>
    </row>
    <row r="69" spans="4:6" x14ac:dyDescent="0.3">
      <c r="D69" t="str">
        <f t="shared" si="1"/>
        <v/>
      </c>
      <c r="E69" t="str">
        <f t="shared" si="2"/>
        <v/>
      </c>
      <c r="F69" t="str">
        <f t="shared" si="4"/>
        <v/>
      </c>
    </row>
    <row r="70" spans="4:6" x14ac:dyDescent="0.3">
      <c r="D70" t="str">
        <f t="shared" ref="D70:D74" si="5">IF(E70="","",D69+1)</f>
        <v/>
      </c>
      <c r="E70" t="str">
        <f t="shared" ref="E70:E74" si="6">IF(E69="","",IF($B$8+E69&lt;=110,E69+1,""))</f>
        <v/>
      </c>
      <c r="F70" t="str">
        <f t="shared" si="4"/>
        <v/>
      </c>
    </row>
    <row r="71" spans="4:6" x14ac:dyDescent="0.3">
      <c r="D71" t="str">
        <f t="shared" si="5"/>
        <v/>
      </c>
      <c r="E71" t="str">
        <f t="shared" si="6"/>
        <v/>
      </c>
      <c r="F71" t="str">
        <f t="shared" si="4"/>
        <v/>
      </c>
    </row>
    <row r="72" spans="4:6" x14ac:dyDescent="0.3">
      <c r="D72" t="str">
        <f t="shared" si="5"/>
        <v/>
      </c>
      <c r="E72" t="str">
        <f t="shared" si="6"/>
        <v/>
      </c>
      <c r="F72" t="str">
        <f t="shared" si="4"/>
        <v/>
      </c>
    </row>
    <row r="73" spans="4:6" x14ac:dyDescent="0.3">
      <c r="D73" t="str">
        <f t="shared" si="5"/>
        <v/>
      </c>
      <c r="E73" t="str">
        <f t="shared" si="6"/>
        <v/>
      </c>
      <c r="F73" t="str">
        <f t="shared" si="4"/>
        <v/>
      </c>
    </row>
    <row r="74" spans="4:6" x14ac:dyDescent="0.3">
      <c r="D74" t="str">
        <f t="shared" si="5"/>
        <v/>
      </c>
      <c r="E74" t="str">
        <f t="shared" si="6"/>
        <v/>
      </c>
      <c r="F74" t="str">
        <f t="shared" si="4"/>
        <v/>
      </c>
    </row>
    <row r="75" spans="4:6" x14ac:dyDescent="0.3">
      <c r="F75" t="str">
        <f t="shared" si="4"/>
        <v/>
      </c>
    </row>
    <row r="76" spans="4:6" x14ac:dyDescent="0.3">
      <c r="F76" t="str">
        <f t="shared" si="4"/>
        <v/>
      </c>
    </row>
    <row r="77" spans="4:6" x14ac:dyDescent="0.3">
      <c r="F77" t="str">
        <f t="shared" si="4"/>
        <v/>
      </c>
    </row>
    <row r="78" spans="4:6" x14ac:dyDescent="0.3">
      <c r="F78" t="str">
        <f t="shared" si="4"/>
        <v/>
      </c>
    </row>
    <row r="79" spans="4:6" x14ac:dyDescent="0.3">
      <c r="F79" t="str">
        <f t="shared" si="4"/>
        <v/>
      </c>
    </row>
    <row r="80" spans="4:6" x14ac:dyDescent="0.3">
      <c r="F80" t="str">
        <f t="shared" si="4"/>
        <v/>
      </c>
    </row>
    <row r="81" spans="6:6" x14ac:dyDescent="0.3">
      <c r="F81" t="str">
        <f t="shared" si="4"/>
        <v/>
      </c>
    </row>
    <row r="82" spans="6:6" x14ac:dyDescent="0.3">
      <c r="F82" t="str">
        <f t="shared" si="4"/>
        <v/>
      </c>
    </row>
    <row r="83" spans="6:6" x14ac:dyDescent="0.3">
      <c r="F83" t="str">
        <f t="shared" si="4"/>
        <v/>
      </c>
    </row>
    <row r="84" spans="6:6" x14ac:dyDescent="0.3">
      <c r="F84" t="str">
        <f t="shared" si="4"/>
        <v/>
      </c>
    </row>
    <row r="85" spans="6:6" x14ac:dyDescent="0.3">
      <c r="F85" t="str">
        <f t="shared" si="4"/>
        <v/>
      </c>
    </row>
    <row r="86" spans="6:6" x14ac:dyDescent="0.3">
      <c r="F86" t="str">
        <f t="shared" si="4"/>
        <v/>
      </c>
    </row>
    <row r="87" spans="6:6" x14ac:dyDescent="0.3">
      <c r="F87" t="str">
        <f t="shared" si="4"/>
        <v/>
      </c>
    </row>
    <row r="88" spans="6:6" x14ac:dyDescent="0.3">
      <c r="F88" t="str">
        <f t="shared" si="4"/>
        <v/>
      </c>
    </row>
    <row r="89" spans="6:6" x14ac:dyDescent="0.3">
      <c r="F89" t="str">
        <f t="shared" si="4"/>
        <v/>
      </c>
    </row>
    <row r="90" spans="6:6" x14ac:dyDescent="0.3">
      <c r="F90" t="str">
        <f t="shared" si="4"/>
        <v/>
      </c>
    </row>
    <row r="91" spans="6:6" x14ac:dyDescent="0.3">
      <c r="F91" t="str">
        <f t="shared" si="4"/>
        <v/>
      </c>
    </row>
    <row r="92" spans="6:6" x14ac:dyDescent="0.3">
      <c r="F92" t="str">
        <f t="shared" si="4"/>
        <v/>
      </c>
    </row>
    <row r="93" spans="6:6" x14ac:dyDescent="0.3">
      <c r="F93" t="str">
        <f t="shared" si="4"/>
        <v/>
      </c>
    </row>
    <row r="94" spans="6:6" x14ac:dyDescent="0.3">
      <c r="F94" t="str">
        <f t="shared" si="4"/>
        <v/>
      </c>
    </row>
    <row r="95" spans="6:6" x14ac:dyDescent="0.3">
      <c r="F95" t="str">
        <f t="shared" si="4"/>
        <v/>
      </c>
    </row>
    <row r="96" spans="6:6" x14ac:dyDescent="0.3">
      <c r="F96" t="str">
        <f t="shared" si="4"/>
        <v/>
      </c>
    </row>
    <row r="97" spans="6:6" x14ac:dyDescent="0.3">
      <c r="F97" t="str">
        <f t="shared" si="4"/>
        <v/>
      </c>
    </row>
    <row r="98" spans="6:6" x14ac:dyDescent="0.3">
      <c r="F98" t="str">
        <f t="shared" si="4"/>
        <v/>
      </c>
    </row>
    <row r="99" spans="6:6" x14ac:dyDescent="0.3">
      <c r="F99" t="str">
        <f t="shared" si="4"/>
        <v/>
      </c>
    </row>
    <row r="100" spans="6:6" x14ac:dyDescent="0.3">
      <c r="F100" t="str">
        <f t="shared" si="4"/>
        <v/>
      </c>
    </row>
    <row r="101" spans="6:6" x14ac:dyDescent="0.3">
      <c r="F101" t="str">
        <f t="shared" si="4"/>
        <v/>
      </c>
    </row>
    <row r="102" spans="6:6" x14ac:dyDescent="0.3">
      <c r="F102" t="str">
        <f t="shared" si="4"/>
        <v/>
      </c>
    </row>
    <row r="103" spans="6:6" x14ac:dyDescent="0.3">
      <c r="F103" t="str">
        <f t="shared" si="4"/>
        <v/>
      </c>
    </row>
    <row r="104" spans="6:6" x14ac:dyDescent="0.3">
      <c r="F104" t="str">
        <f t="shared" si="4"/>
        <v/>
      </c>
    </row>
    <row r="105" spans="6:6" x14ac:dyDescent="0.3">
      <c r="F105" t="str">
        <f t="shared" si="4"/>
        <v/>
      </c>
    </row>
  </sheetData>
  <dataValidations count="3">
    <dataValidation type="whole" allowBlank="1" showInputMessage="1" showErrorMessage="1" sqref="B5">
      <formula1>1</formula1>
      <formula2>7</formula2>
    </dataValidation>
    <dataValidation type="whole" allowBlank="1" showInputMessage="1" showErrorMessage="1" sqref="B8 B11">
      <formula1>40</formula1>
      <formula2>110</formula2>
    </dataValidation>
    <dataValidation type="whole" allowBlank="1" showInputMessage="1" showErrorMessage="1" sqref="B14">
      <formula1>0</formula1>
      <formula2>110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74"/>
  <sheetViews>
    <sheetView workbookViewId="0">
      <selection activeCell="M1" sqref="M1"/>
    </sheetView>
  </sheetViews>
  <sheetFormatPr defaultRowHeight="14.4" x14ac:dyDescent="0.3"/>
  <cols>
    <col min="2" max="2" width="22.88671875" bestFit="1" customWidth="1"/>
    <col min="7" max="7" width="11.6640625" customWidth="1"/>
    <col min="8" max="8" width="13.44140625" customWidth="1"/>
    <col min="9" max="9" width="10" customWidth="1"/>
  </cols>
  <sheetData>
    <row r="1" spans="2:13" x14ac:dyDescent="0.3">
      <c r="D1" t="s">
        <v>2</v>
      </c>
      <c r="E1" t="s">
        <v>3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</row>
    <row r="2" spans="2:13" x14ac:dyDescent="0.3">
      <c r="B2" s="2" t="s">
        <v>13</v>
      </c>
      <c r="D2">
        <f>40</f>
        <v>40</v>
      </c>
      <c r="E2">
        <v>1</v>
      </c>
      <c r="G2">
        <f>IF(OR(D2&lt;$B$9,D2&gt;$B$9+$B$3-1),0,15000)</f>
        <v>0</v>
      </c>
      <c r="H2">
        <f>IF(OR(D2&lt;65,D2&gt;94),0,(D2-40)*1000)</f>
        <v>0</v>
      </c>
      <c r="I2">
        <f>IF(OR(D2&lt;$B$9,D2&gt;110),0,7200)</f>
        <v>0</v>
      </c>
      <c r="J2">
        <f>IF(OR(D2&lt;60,D2&gt;100),0,D2*1000)</f>
        <v>0</v>
      </c>
      <c r="K2">
        <f>IF(OR(D2&lt;$B$9,D2&gt;$B$9+$B$3-1),0,IF(D2&lt;$B$9+$B$3/2,19000,25000))</f>
        <v>0</v>
      </c>
      <c r="L2">
        <f>IF(OR(D2&lt;$B$9,D2&gt;$B$9+$B$3-1),0,100000/$B$3)</f>
        <v>0</v>
      </c>
      <c r="M2">
        <f>IF(OR(D2&lt;$B$9,D2&gt;$B$9+$B$3-1), 0,IF(AND(ISEVEN($B$9),ISEVEN(D2)),30000,IF(AND(ISODD($B$9),ISODD(D2)),30000,0)))</f>
        <v>0</v>
      </c>
    </row>
    <row r="3" spans="2:13" x14ac:dyDescent="0.3">
      <c r="B3" s="3">
        <f>'Illustration Calc'!B14</f>
        <v>0</v>
      </c>
      <c r="D3">
        <f>D2+1</f>
        <v>41</v>
      </c>
      <c r="E3">
        <v>2</v>
      </c>
      <c r="G3">
        <f t="shared" ref="G3:G66" si="0">IF(OR(D3&lt;$B$9,D3&gt;$B$9+$B$3-1),0,15000)</f>
        <v>0</v>
      </c>
      <c r="H3">
        <f t="shared" ref="H3:H66" si="1">IF(OR(D3&lt;65,D3&gt;94),0,(D3-40)*1000)</f>
        <v>0</v>
      </c>
      <c r="I3">
        <f t="shared" ref="I3:I66" si="2">IF(OR(D3&lt;$B$9,D3&gt;110),0,7200)</f>
        <v>0</v>
      </c>
      <c r="J3">
        <f t="shared" ref="J3:J66" si="3">IF(OR(D3&lt;60,D3&gt;100),0,D3*1000)</f>
        <v>0</v>
      </c>
      <c r="K3">
        <f t="shared" ref="K3:K66" si="4">IF(OR(D3&lt;$B$9,D3&gt;$B$9+$B$3-1),0,IF(D3&lt;$B$9+$B$3/2,19000,25000))</f>
        <v>0</v>
      </c>
      <c r="L3">
        <f t="shared" ref="L3:L66" si="5">IF(OR(D3&lt;$B$9,D3&gt;$B$9+$B$3-1),0,100000/$B$3)</f>
        <v>0</v>
      </c>
      <c r="M3">
        <f t="shared" ref="M3:M66" si="6">IF(OR(D3&lt;$B$9,D3&gt;$B$9+$B$3-1), 0,IF(AND(ISEVEN($B$9),ISEVEN(D3)),30000,IF(AND(ISODD($B$9),ISODD(D3)),30000,0)))</f>
        <v>0</v>
      </c>
    </row>
    <row r="4" spans="2:13" x14ac:dyDescent="0.3">
      <c r="D4">
        <f>D3+1</f>
        <v>42</v>
      </c>
      <c r="E4">
        <v>3</v>
      </c>
      <c r="G4">
        <f t="shared" si="0"/>
        <v>0</v>
      </c>
      <c r="H4">
        <f t="shared" si="1"/>
        <v>0</v>
      </c>
      <c r="I4">
        <f t="shared" si="2"/>
        <v>0</v>
      </c>
      <c r="J4">
        <f t="shared" si="3"/>
        <v>0</v>
      </c>
      <c r="K4">
        <f t="shared" si="4"/>
        <v>0</v>
      </c>
      <c r="L4">
        <f t="shared" si="5"/>
        <v>0</v>
      </c>
      <c r="M4">
        <f t="shared" si="6"/>
        <v>0</v>
      </c>
    </row>
    <row r="5" spans="2:13" x14ac:dyDescent="0.3">
      <c r="B5" s="2" t="s">
        <v>11</v>
      </c>
      <c r="D5">
        <f t="shared" ref="D5:D68" si="7">D4+1</f>
        <v>43</v>
      </c>
      <c r="E5">
        <v>4</v>
      </c>
      <c r="G5">
        <f t="shared" si="0"/>
        <v>0</v>
      </c>
      <c r="H5">
        <f t="shared" si="1"/>
        <v>0</v>
      </c>
      <c r="I5">
        <f t="shared" si="2"/>
        <v>0</v>
      </c>
      <c r="J5">
        <f t="shared" si="3"/>
        <v>0</v>
      </c>
      <c r="K5">
        <f t="shared" si="4"/>
        <v>0</v>
      </c>
      <c r="L5">
        <f t="shared" si="5"/>
        <v>0</v>
      </c>
      <c r="M5">
        <f t="shared" si="6"/>
        <v>0</v>
      </c>
    </row>
    <row r="6" spans="2:13" x14ac:dyDescent="0.3">
      <c r="B6" s="3">
        <f>'Illustration Calc'!B8</f>
        <v>61</v>
      </c>
      <c r="D6">
        <f t="shared" si="7"/>
        <v>44</v>
      </c>
      <c r="E6">
        <v>5</v>
      </c>
      <c r="G6">
        <f t="shared" si="0"/>
        <v>0</v>
      </c>
      <c r="H6">
        <f t="shared" si="1"/>
        <v>0</v>
      </c>
      <c r="I6">
        <f t="shared" si="2"/>
        <v>0</v>
      </c>
      <c r="J6">
        <f t="shared" si="3"/>
        <v>0</v>
      </c>
      <c r="K6">
        <f t="shared" si="4"/>
        <v>0</v>
      </c>
      <c r="L6">
        <f t="shared" si="5"/>
        <v>0</v>
      </c>
      <c r="M6">
        <f t="shared" si="6"/>
        <v>0</v>
      </c>
    </row>
    <row r="7" spans="2:13" x14ac:dyDescent="0.3">
      <c r="D7">
        <f t="shared" si="7"/>
        <v>45</v>
      </c>
      <c r="E7">
        <v>6</v>
      </c>
      <c r="G7">
        <f t="shared" si="0"/>
        <v>0</v>
      </c>
      <c r="H7">
        <f t="shared" si="1"/>
        <v>0</v>
      </c>
      <c r="I7">
        <f t="shared" si="2"/>
        <v>0</v>
      </c>
      <c r="J7">
        <f t="shared" si="3"/>
        <v>0</v>
      </c>
      <c r="K7">
        <f t="shared" si="4"/>
        <v>0</v>
      </c>
      <c r="L7">
        <f t="shared" si="5"/>
        <v>0</v>
      </c>
      <c r="M7">
        <f t="shared" si="6"/>
        <v>0</v>
      </c>
    </row>
    <row r="8" spans="2:13" x14ac:dyDescent="0.3">
      <c r="B8" s="2" t="s">
        <v>12</v>
      </c>
      <c r="D8">
        <f t="shared" si="7"/>
        <v>46</v>
      </c>
      <c r="E8">
        <v>7</v>
      </c>
      <c r="G8">
        <f t="shared" si="0"/>
        <v>0</v>
      </c>
      <c r="H8">
        <f t="shared" si="1"/>
        <v>0</v>
      </c>
      <c r="I8">
        <f t="shared" si="2"/>
        <v>0</v>
      </c>
      <c r="J8">
        <f t="shared" si="3"/>
        <v>0</v>
      </c>
      <c r="K8">
        <f t="shared" si="4"/>
        <v>0</v>
      </c>
      <c r="L8">
        <f t="shared" si="5"/>
        <v>0</v>
      </c>
      <c r="M8">
        <f t="shared" si="6"/>
        <v>0</v>
      </c>
    </row>
    <row r="9" spans="2:13" x14ac:dyDescent="0.3">
      <c r="B9" s="3">
        <f>'Illustration Calc'!B11</f>
        <v>70</v>
      </c>
      <c r="D9">
        <f t="shared" si="7"/>
        <v>47</v>
      </c>
      <c r="E9">
        <v>8</v>
      </c>
      <c r="G9">
        <f t="shared" si="0"/>
        <v>0</v>
      </c>
      <c r="H9">
        <f t="shared" si="1"/>
        <v>0</v>
      </c>
      <c r="I9">
        <f t="shared" si="2"/>
        <v>0</v>
      </c>
      <c r="J9">
        <f t="shared" si="3"/>
        <v>0</v>
      </c>
      <c r="K9">
        <f t="shared" si="4"/>
        <v>0</v>
      </c>
      <c r="L9">
        <f t="shared" si="5"/>
        <v>0</v>
      </c>
      <c r="M9">
        <f t="shared" si="6"/>
        <v>0</v>
      </c>
    </row>
    <row r="10" spans="2:13" x14ac:dyDescent="0.3">
      <c r="D10">
        <f t="shared" si="7"/>
        <v>48</v>
      </c>
      <c r="E10">
        <v>9</v>
      </c>
      <c r="G10">
        <f t="shared" si="0"/>
        <v>0</v>
      </c>
      <c r="H10">
        <f t="shared" si="1"/>
        <v>0</v>
      </c>
      <c r="I10">
        <f t="shared" si="2"/>
        <v>0</v>
      </c>
      <c r="J10">
        <f t="shared" si="3"/>
        <v>0</v>
      </c>
      <c r="K10">
        <f t="shared" si="4"/>
        <v>0</v>
      </c>
      <c r="L10">
        <f t="shared" si="5"/>
        <v>0</v>
      </c>
      <c r="M10">
        <f t="shared" si="6"/>
        <v>0</v>
      </c>
    </row>
    <row r="11" spans="2:13" x14ac:dyDescent="0.3">
      <c r="D11">
        <f t="shared" si="7"/>
        <v>49</v>
      </c>
      <c r="E11">
        <v>10</v>
      </c>
      <c r="G11">
        <f t="shared" si="0"/>
        <v>0</v>
      </c>
      <c r="H11">
        <f t="shared" si="1"/>
        <v>0</v>
      </c>
      <c r="I11">
        <f t="shared" si="2"/>
        <v>0</v>
      </c>
      <c r="J11">
        <f t="shared" si="3"/>
        <v>0</v>
      </c>
      <c r="K11">
        <f t="shared" si="4"/>
        <v>0</v>
      </c>
      <c r="L11">
        <f t="shared" si="5"/>
        <v>0</v>
      </c>
      <c r="M11">
        <f t="shared" si="6"/>
        <v>0</v>
      </c>
    </row>
    <row r="12" spans="2:13" x14ac:dyDescent="0.3">
      <c r="D12">
        <f t="shared" si="7"/>
        <v>50</v>
      </c>
      <c r="E12">
        <v>11</v>
      </c>
      <c r="G12">
        <f t="shared" si="0"/>
        <v>0</v>
      </c>
      <c r="H12">
        <f t="shared" si="1"/>
        <v>0</v>
      </c>
      <c r="I12">
        <f t="shared" si="2"/>
        <v>0</v>
      </c>
      <c r="J12">
        <f t="shared" si="3"/>
        <v>0</v>
      </c>
      <c r="K12">
        <f t="shared" si="4"/>
        <v>0</v>
      </c>
      <c r="L12">
        <f t="shared" si="5"/>
        <v>0</v>
      </c>
      <c r="M12">
        <f t="shared" si="6"/>
        <v>0</v>
      </c>
    </row>
    <row r="13" spans="2:13" x14ac:dyDescent="0.3">
      <c r="D13">
        <f t="shared" si="7"/>
        <v>51</v>
      </c>
      <c r="E13">
        <v>12</v>
      </c>
      <c r="G13">
        <f t="shared" si="0"/>
        <v>0</v>
      </c>
      <c r="H13">
        <f t="shared" si="1"/>
        <v>0</v>
      </c>
      <c r="I13">
        <f t="shared" si="2"/>
        <v>0</v>
      </c>
      <c r="J13">
        <f t="shared" si="3"/>
        <v>0</v>
      </c>
      <c r="K13">
        <f t="shared" si="4"/>
        <v>0</v>
      </c>
      <c r="L13">
        <f t="shared" si="5"/>
        <v>0</v>
      </c>
      <c r="M13">
        <f t="shared" si="6"/>
        <v>0</v>
      </c>
    </row>
    <row r="14" spans="2:13" x14ac:dyDescent="0.3">
      <c r="D14">
        <f t="shared" si="7"/>
        <v>52</v>
      </c>
      <c r="E14">
        <v>13</v>
      </c>
      <c r="G14">
        <f t="shared" si="0"/>
        <v>0</v>
      </c>
      <c r="H14">
        <f t="shared" si="1"/>
        <v>0</v>
      </c>
      <c r="I14">
        <f t="shared" si="2"/>
        <v>0</v>
      </c>
      <c r="J14">
        <f t="shared" si="3"/>
        <v>0</v>
      </c>
      <c r="K14">
        <f t="shared" si="4"/>
        <v>0</v>
      </c>
      <c r="L14">
        <f t="shared" si="5"/>
        <v>0</v>
      </c>
      <c r="M14">
        <f t="shared" si="6"/>
        <v>0</v>
      </c>
    </row>
    <row r="15" spans="2:13" x14ac:dyDescent="0.3">
      <c r="D15">
        <f t="shared" si="7"/>
        <v>53</v>
      </c>
      <c r="E15">
        <v>14</v>
      </c>
      <c r="G15">
        <f t="shared" si="0"/>
        <v>0</v>
      </c>
      <c r="H15">
        <f t="shared" si="1"/>
        <v>0</v>
      </c>
      <c r="I15">
        <f t="shared" si="2"/>
        <v>0</v>
      </c>
      <c r="J15">
        <f t="shared" si="3"/>
        <v>0</v>
      </c>
      <c r="K15">
        <f t="shared" si="4"/>
        <v>0</v>
      </c>
      <c r="L15">
        <f t="shared" si="5"/>
        <v>0</v>
      </c>
      <c r="M15">
        <f t="shared" si="6"/>
        <v>0</v>
      </c>
    </row>
    <row r="16" spans="2:13" x14ac:dyDescent="0.3">
      <c r="D16">
        <f t="shared" si="7"/>
        <v>54</v>
      </c>
      <c r="E16">
        <v>15</v>
      </c>
      <c r="G16">
        <f t="shared" si="0"/>
        <v>0</v>
      </c>
      <c r="H16">
        <f t="shared" si="1"/>
        <v>0</v>
      </c>
      <c r="I16">
        <f t="shared" si="2"/>
        <v>0</v>
      </c>
      <c r="J16">
        <f t="shared" si="3"/>
        <v>0</v>
      </c>
      <c r="K16">
        <f t="shared" si="4"/>
        <v>0</v>
      </c>
      <c r="L16">
        <f t="shared" si="5"/>
        <v>0</v>
      </c>
      <c r="M16">
        <f t="shared" si="6"/>
        <v>0</v>
      </c>
    </row>
    <row r="17" spans="4:13" x14ac:dyDescent="0.3">
      <c r="D17">
        <f>D16+1</f>
        <v>55</v>
      </c>
      <c r="E17">
        <v>16</v>
      </c>
      <c r="G17">
        <f t="shared" si="0"/>
        <v>0</v>
      </c>
      <c r="H17">
        <f t="shared" si="1"/>
        <v>0</v>
      </c>
      <c r="I17">
        <f t="shared" si="2"/>
        <v>0</v>
      </c>
      <c r="J17">
        <f t="shared" si="3"/>
        <v>0</v>
      </c>
      <c r="K17">
        <f t="shared" si="4"/>
        <v>0</v>
      </c>
      <c r="L17">
        <f t="shared" si="5"/>
        <v>0</v>
      </c>
      <c r="M17">
        <f t="shared" si="6"/>
        <v>0</v>
      </c>
    </row>
    <row r="18" spans="4:13" x14ac:dyDescent="0.3">
      <c r="D18">
        <f t="shared" si="7"/>
        <v>56</v>
      </c>
      <c r="E18">
        <v>17</v>
      </c>
      <c r="G18">
        <f t="shared" si="0"/>
        <v>0</v>
      </c>
      <c r="H18">
        <f t="shared" si="1"/>
        <v>0</v>
      </c>
      <c r="I18">
        <f t="shared" si="2"/>
        <v>0</v>
      </c>
      <c r="J18">
        <f t="shared" si="3"/>
        <v>0</v>
      </c>
      <c r="K18">
        <f t="shared" si="4"/>
        <v>0</v>
      </c>
      <c r="L18">
        <f t="shared" si="5"/>
        <v>0</v>
      </c>
      <c r="M18">
        <f t="shared" si="6"/>
        <v>0</v>
      </c>
    </row>
    <row r="19" spans="4:13" x14ac:dyDescent="0.3">
      <c r="D19">
        <f t="shared" si="7"/>
        <v>57</v>
      </c>
      <c r="E19">
        <v>18</v>
      </c>
      <c r="G19">
        <f t="shared" si="0"/>
        <v>0</v>
      </c>
      <c r="H19">
        <f t="shared" si="1"/>
        <v>0</v>
      </c>
      <c r="I19">
        <f t="shared" si="2"/>
        <v>0</v>
      </c>
      <c r="J19">
        <f t="shared" si="3"/>
        <v>0</v>
      </c>
      <c r="K19">
        <f t="shared" si="4"/>
        <v>0</v>
      </c>
      <c r="L19">
        <f t="shared" si="5"/>
        <v>0</v>
      </c>
      <c r="M19">
        <f t="shared" si="6"/>
        <v>0</v>
      </c>
    </row>
    <row r="20" spans="4:13" x14ac:dyDescent="0.3">
      <c r="D20">
        <f t="shared" si="7"/>
        <v>58</v>
      </c>
      <c r="E20">
        <v>19</v>
      </c>
      <c r="G20">
        <f t="shared" si="0"/>
        <v>0</v>
      </c>
      <c r="H20">
        <f t="shared" si="1"/>
        <v>0</v>
      </c>
      <c r="I20">
        <f t="shared" si="2"/>
        <v>0</v>
      </c>
      <c r="J20">
        <f t="shared" si="3"/>
        <v>0</v>
      </c>
      <c r="K20">
        <f t="shared" si="4"/>
        <v>0</v>
      </c>
      <c r="L20">
        <f t="shared" si="5"/>
        <v>0</v>
      </c>
      <c r="M20">
        <f t="shared" si="6"/>
        <v>0</v>
      </c>
    </row>
    <row r="21" spans="4:13" x14ac:dyDescent="0.3">
      <c r="D21">
        <f t="shared" si="7"/>
        <v>59</v>
      </c>
      <c r="E21">
        <v>20</v>
      </c>
      <c r="G21">
        <f t="shared" si="0"/>
        <v>0</v>
      </c>
      <c r="H21">
        <f t="shared" si="1"/>
        <v>0</v>
      </c>
      <c r="I21">
        <f t="shared" si="2"/>
        <v>0</v>
      </c>
      <c r="J21">
        <f t="shared" si="3"/>
        <v>0</v>
      </c>
      <c r="K21">
        <f t="shared" si="4"/>
        <v>0</v>
      </c>
      <c r="L21">
        <f t="shared" si="5"/>
        <v>0</v>
      </c>
      <c r="M21">
        <f t="shared" si="6"/>
        <v>0</v>
      </c>
    </row>
    <row r="22" spans="4:13" x14ac:dyDescent="0.3">
      <c r="D22">
        <f t="shared" si="7"/>
        <v>60</v>
      </c>
      <c r="E22">
        <v>21</v>
      </c>
      <c r="G22">
        <f t="shared" si="0"/>
        <v>0</v>
      </c>
      <c r="H22">
        <f t="shared" si="1"/>
        <v>0</v>
      </c>
      <c r="I22">
        <f t="shared" si="2"/>
        <v>0</v>
      </c>
      <c r="J22">
        <f t="shared" si="3"/>
        <v>60000</v>
      </c>
      <c r="K22">
        <f t="shared" si="4"/>
        <v>0</v>
      </c>
      <c r="L22">
        <f t="shared" si="5"/>
        <v>0</v>
      </c>
      <c r="M22">
        <f t="shared" si="6"/>
        <v>0</v>
      </c>
    </row>
    <row r="23" spans="4:13" x14ac:dyDescent="0.3">
      <c r="D23">
        <f t="shared" si="7"/>
        <v>61</v>
      </c>
      <c r="E23">
        <v>22</v>
      </c>
      <c r="G23">
        <f t="shared" si="0"/>
        <v>0</v>
      </c>
      <c r="H23">
        <f t="shared" si="1"/>
        <v>0</v>
      </c>
      <c r="I23">
        <f t="shared" si="2"/>
        <v>0</v>
      </c>
      <c r="J23">
        <f t="shared" si="3"/>
        <v>61000</v>
      </c>
      <c r="K23">
        <f t="shared" si="4"/>
        <v>0</v>
      </c>
      <c r="L23">
        <f t="shared" si="5"/>
        <v>0</v>
      </c>
      <c r="M23">
        <f t="shared" si="6"/>
        <v>0</v>
      </c>
    </row>
    <row r="24" spans="4:13" x14ac:dyDescent="0.3">
      <c r="D24">
        <f t="shared" si="7"/>
        <v>62</v>
      </c>
      <c r="E24">
        <v>23</v>
      </c>
      <c r="G24">
        <f t="shared" si="0"/>
        <v>0</v>
      </c>
      <c r="H24">
        <f t="shared" si="1"/>
        <v>0</v>
      </c>
      <c r="I24">
        <f t="shared" si="2"/>
        <v>0</v>
      </c>
      <c r="J24">
        <f t="shared" si="3"/>
        <v>62000</v>
      </c>
      <c r="K24">
        <f t="shared" si="4"/>
        <v>0</v>
      </c>
      <c r="L24">
        <f t="shared" si="5"/>
        <v>0</v>
      </c>
      <c r="M24">
        <f t="shared" si="6"/>
        <v>0</v>
      </c>
    </row>
    <row r="25" spans="4:13" x14ac:dyDescent="0.3">
      <c r="D25">
        <f t="shared" si="7"/>
        <v>63</v>
      </c>
      <c r="E25">
        <v>24</v>
      </c>
      <c r="G25">
        <f>IF(OR(D25&lt;$B$9,D25&gt;$B$9+$B$3-1),0,15000)</f>
        <v>0</v>
      </c>
      <c r="H25">
        <f t="shared" si="1"/>
        <v>0</v>
      </c>
      <c r="I25">
        <f t="shared" si="2"/>
        <v>0</v>
      </c>
      <c r="J25">
        <f t="shared" si="3"/>
        <v>63000</v>
      </c>
      <c r="K25">
        <f t="shared" si="4"/>
        <v>0</v>
      </c>
      <c r="L25">
        <f t="shared" si="5"/>
        <v>0</v>
      </c>
      <c r="M25">
        <f t="shared" si="6"/>
        <v>0</v>
      </c>
    </row>
    <row r="26" spans="4:13" x14ac:dyDescent="0.3">
      <c r="D26">
        <f t="shared" si="7"/>
        <v>64</v>
      </c>
      <c r="E26">
        <v>25</v>
      </c>
      <c r="G26">
        <f t="shared" si="0"/>
        <v>0</v>
      </c>
      <c r="H26">
        <f t="shared" si="1"/>
        <v>0</v>
      </c>
      <c r="I26">
        <f t="shared" si="2"/>
        <v>0</v>
      </c>
      <c r="J26">
        <f t="shared" si="3"/>
        <v>64000</v>
      </c>
      <c r="K26">
        <f t="shared" si="4"/>
        <v>0</v>
      </c>
      <c r="L26">
        <f t="shared" si="5"/>
        <v>0</v>
      </c>
      <c r="M26">
        <f t="shared" si="6"/>
        <v>0</v>
      </c>
    </row>
    <row r="27" spans="4:13" x14ac:dyDescent="0.3">
      <c r="D27">
        <f t="shared" si="7"/>
        <v>65</v>
      </c>
      <c r="E27">
        <v>26</v>
      </c>
      <c r="G27">
        <f t="shared" si="0"/>
        <v>0</v>
      </c>
      <c r="H27">
        <f t="shared" si="1"/>
        <v>25000</v>
      </c>
      <c r="I27">
        <f t="shared" si="2"/>
        <v>0</v>
      </c>
      <c r="J27">
        <f t="shared" si="3"/>
        <v>65000</v>
      </c>
      <c r="K27">
        <f t="shared" si="4"/>
        <v>0</v>
      </c>
      <c r="L27">
        <f t="shared" si="5"/>
        <v>0</v>
      </c>
      <c r="M27">
        <f t="shared" si="6"/>
        <v>0</v>
      </c>
    </row>
    <row r="28" spans="4:13" x14ac:dyDescent="0.3">
      <c r="D28">
        <f t="shared" si="7"/>
        <v>66</v>
      </c>
      <c r="E28">
        <v>27</v>
      </c>
      <c r="G28">
        <f t="shared" si="0"/>
        <v>0</v>
      </c>
      <c r="H28">
        <f t="shared" si="1"/>
        <v>26000</v>
      </c>
      <c r="I28">
        <f t="shared" si="2"/>
        <v>0</v>
      </c>
      <c r="J28">
        <f t="shared" si="3"/>
        <v>66000</v>
      </c>
      <c r="K28">
        <f t="shared" si="4"/>
        <v>0</v>
      </c>
      <c r="L28">
        <f t="shared" si="5"/>
        <v>0</v>
      </c>
      <c r="M28">
        <f t="shared" si="6"/>
        <v>0</v>
      </c>
    </row>
    <row r="29" spans="4:13" x14ac:dyDescent="0.3">
      <c r="D29">
        <f>D28+1</f>
        <v>67</v>
      </c>
      <c r="E29">
        <v>28</v>
      </c>
      <c r="G29">
        <f t="shared" si="0"/>
        <v>0</v>
      </c>
      <c r="H29">
        <f t="shared" si="1"/>
        <v>27000</v>
      </c>
      <c r="I29">
        <f t="shared" si="2"/>
        <v>0</v>
      </c>
      <c r="J29">
        <f t="shared" si="3"/>
        <v>67000</v>
      </c>
      <c r="K29">
        <f t="shared" si="4"/>
        <v>0</v>
      </c>
      <c r="L29">
        <f t="shared" si="5"/>
        <v>0</v>
      </c>
      <c r="M29">
        <f t="shared" si="6"/>
        <v>0</v>
      </c>
    </row>
    <row r="30" spans="4:13" x14ac:dyDescent="0.3">
      <c r="D30">
        <f t="shared" si="7"/>
        <v>68</v>
      </c>
      <c r="E30">
        <v>29</v>
      </c>
      <c r="G30">
        <f t="shared" si="0"/>
        <v>0</v>
      </c>
      <c r="H30">
        <f t="shared" si="1"/>
        <v>28000</v>
      </c>
      <c r="I30">
        <f t="shared" si="2"/>
        <v>0</v>
      </c>
      <c r="J30">
        <f t="shared" si="3"/>
        <v>68000</v>
      </c>
      <c r="K30">
        <f t="shared" si="4"/>
        <v>0</v>
      </c>
      <c r="L30">
        <f t="shared" si="5"/>
        <v>0</v>
      </c>
      <c r="M30">
        <f t="shared" si="6"/>
        <v>0</v>
      </c>
    </row>
    <row r="31" spans="4:13" x14ac:dyDescent="0.3">
      <c r="D31">
        <f t="shared" si="7"/>
        <v>69</v>
      </c>
      <c r="E31">
        <v>30</v>
      </c>
      <c r="G31">
        <f t="shared" si="0"/>
        <v>0</v>
      </c>
      <c r="H31">
        <f t="shared" si="1"/>
        <v>29000</v>
      </c>
      <c r="I31">
        <f t="shared" si="2"/>
        <v>0</v>
      </c>
      <c r="J31">
        <f t="shared" si="3"/>
        <v>69000</v>
      </c>
      <c r="K31">
        <f t="shared" si="4"/>
        <v>0</v>
      </c>
      <c r="L31">
        <f t="shared" si="5"/>
        <v>0</v>
      </c>
      <c r="M31">
        <f t="shared" si="6"/>
        <v>0</v>
      </c>
    </row>
    <row r="32" spans="4:13" x14ac:dyDescent="0.3">
      <c r="D32">
        <f t="shared" si="7"/>
        <v>70</v>
      </c>
      <c r="E32">
        <v>31</v>
      </c>
      <c r="G32">
        <f t="shared" si="0"/>
        <v>0</v>
      </c>
      <c r="H32">
        <f t="shared" si="1"/>
        <v>30000</v>
      </c>
      <c r="I32">
        <f t="shared" si="2"/>
        <v>7200</v>
      </c>
      <c r="J32">
        <f t="shared" si="3"/>
        <v>70000</v>
      </c>
      <c r="K32">
        <f t="shared" si="4"/>
        <v>0</v>
      </c>
      <c r="L32">
        <f t="shared" si="5"/>
        <v>0</v>
      </c>
      <c r="M32">
        <f t="shared" si="6"/>
        <v>0</v>
      </c>
    </row>
    <row r="33" spans="4:13" x14ac:dyDescent="0.3">
      <c r="D33">
        <f t="shared" si="7"/>
        <v>71</v>
      </c>
      <c r="E33">
        <v>32</v>
      </c>
      <c r="G33">
        <f t="shared" si="0"/>
        <v>0</v>
      </c>
      <c r="H33">
        <f t="shared" si="1"/>
        <v>31000</v>
      </c>
      <c r="I33">
        <f t="shared" si="2"/>
        <v>7200</v>
      </c>
      <c r="J33">
        <f t="shared" si="3"/>
        <v>71000</v>
      </c>
      <c r="K33">
        <f t="shared" si="4"/>
        <v>0</v>
      </c>
      <c r="L33">
        <f t="shared" si="5"/>
        <v>0</v>
      </c>
      <c r="M33">
        <f t="shared" si="6"/>
        <v>0</v>
      </c>
    </row>
    <row r="34" spans="4:13" x14ac:dyDescent="0.3">
      <c r="D34">
        <f t="shared" si="7"/>
        <v>72</v>
      </c>
      <c r="E34">
        <v>33</v>
      </c>
      <c r="G34">
        <f t="shared" si="0"/>
        <v>0</v>
      </c>
      <c r="H34">
        <f t="shared" si="1"/>
        <v>32000</v>
      </c>
      <c r="I34">
        <f t="shared" si="2"/>
        <v>7200</v>
      </c>
      <c r="J34">
        <f t="shared" si="3"/>
        <v>72000</v>
      </c>
      <c r="K34">
        <f t="shared" si="4"/>
        <v>0</v>
      </c>
      <c r="L34">
        <f t="shared" si="5"/>
        <v>0</v>
      </c>
      <c r="M34">
        <f t="shared" si="6"/>
        <v>0</v>
      </c>
    </row>
    <row r="35" spans="4:13" x14ac:dyDescent="0.3">
      <c r="D35">
        <f t="shared" si="7"/>
        <v>73</v>
      </c>
      <c r="E35">
        <v>34</v>
      </c>
      <c r="G35">
        <f t="shared" si="0"/>
        <v>0</v>
      </c>
      <c r="H35">
        <f t="shared" si="1"/>
        <v>33000</v>
      </c>
      <c r="I35">
        <f t="shared" si="2"/>
        <v>7200</v>
      </c>
      <c r="J35">
        <f t="shared" si="3"/>
        <v>73000</v>
      </c>
      <c r="K35">
        <f t="shared" si="4"/>
        <v>0</v>
      </c>
      <c r="L35">
        <f t="shared" si="5"/>
        <v>0</v>
      </c>
      <c r="M35">
        <f t="shared" si="6"/>
        <v>0</v>
      </c>
    </row>
    <row r="36" spans="4:13" x14ac:dyDescent="0.3">
      <c r="D36">
        <f t="shared" si="7"/>
        <v>74</v>
      </c>
      <c r="E36">
        <v>35</v>
      </c>
      <c r="G36">
        <f t="shared" si="0"/>
        <v>0</v>
      </c>
      <c r="H36">
        <f t="shared" si="1"/>
        <v>34000</v>
      </c>
      <c r="I36">
        <f t="shared" si="2"/>
        <v>7200</v>
      </c>
      <c r="J36">
        <f t="shared" si="3"/>
        <v>74000</v>
      </c>
      <c r="K36">
        <f t="shared" si="4"/>
        <v>0</v>
      </c>
      <c r="L36">
        <f t="shared" si="5"/>
        <v>0</v>
      </c>
      <c r="M36">
        <f t="shared" si="6"/>
        <v>0</v>
      </c>
    </row>
    <row r="37" spans="4:13" x14ac:dyDescent="0.3">
      <c r="D37">
        <f t="shared" si="7"/>
        <v>75</v>
      </c>
      <c r="E37">
        <v>36</v>
      </c>
      <c r="G37">
        <f t="shared" si="0"/>
        <v>0</v>
      </c>
      <c r="H37">
        <f t="shared" si="1"/>
        <v>35000</v>
      </c>
      <c r="I37">
        <f t="shared" si="2"/>
        <v>7200</v>
      </c>
      <c r="J37">
        <f t="shared" si="3"/>
        <v>75000</v>
      </c>
      <c r="K37">
        <f t="shared" si="4"/>
        <v>0</v>
      </c>
      <c r="L37">
        <f t="shared" si="5"/>
        <v>0</v>
      </c>
      <c r="M37">
        <f t="shared" si="6"/>
        <v>0</v>
      </c>
    </row>
    <row r="38" spans="4:13" x14ac:dyDescent="0.3">
      <c r="D38">
        <f t="shared" si="7"/>
        <v>76</v>
      </c>
      <c r="E38">
        <v>37</v>
      </c>
      <c r="G38">
        <f t="shared" si="0"/>
        <v>0</v>
      </c>
      <c r="H38">
        <f t="shared" si="1"/>
        <v>36000</v>
      </c>
      <c r="I38">
        <f t="shared" si="2"/>
        <v>7200</v>
      </c>
      <c r="J38">
        <f t="shared" si="3"/>
        <v>76000</v>
      </c>
      <c r="K38">
        <f t="shared" si="4"/>
        <v>0</v>
      </c>
      <c r="L38">
        <f t="shared" si="5"/>
        <v>0</v>
      </c>
      <c r="M38">
        <f t="shared" si="6"/>
        <v>0</v>
      </c>
    </row>
    <row r="39" spans="4:13" x14ac:dyDescent="0.3">
      <c r="D39">
        <f>D38+1</f>
        <v>77</v>
      </c>
      <c r="E39">
        <v>38</v>
      </c>
      <c r="G39">
        <f t="shared" si="0"/>
        <v>0</v>
      </c>
      <c r="H39">
        <f t="shared" si="1"/>
        <v>37000</v>
      </c>
      <c r="I39">
        <f t="shared" si="2"/>
        <v>7200</v>
      </c>
      <c r="J39">
        <f t="shared" si="3"/>
        <v>77000</v>
      </c>
      <c r="K39">
        <f t="shared" si="4"/>
        <v>0</v>
      </c>
      <c r="L39">
        <f t="shared" si="5"/>
        <v>0</v>
      </c>
      <c r="M39">
        <f t="shared" si="6"/>
        <v>0</v>
      </c>
    </row>
    <row r="40" spans="4:13" x14ac:dyDescent="0.3">
      <c r="D40">
        <f t="shared" si="7"/>
        <v>78</v>
      </c>
      <c r="E40">
        <v>39</v>
      </c>
      <c r="G40">
        <f t="shared" si="0"/>
        <v>0</v>
      </c>
      <c r="H40">
        <f t="shared" si="1"/>
        <v>38000</v>
      </c>
      <c r="I40">
        <f t="shared" si="2"/>
        <v>7200</v>
      </c>
      <c r="J40">
        <f t="shared" si="3"/>
        <v>78000</v>
      </c>
      <c r="K40">
        <f t="shared" si="4"/>
        <v>0</v>
      </c>
      <c r="L40">
        <f t="shared" si="5"/>
        <v>0</v>
      </c>
      <c r="M40">
        <f t="shared" si="6"/>
        <v>0</v>
      </c>
    </row>
    <row r="41" spans="4:13" x14ac:dyDescent="0.3">
      <c r="D41">
        <f t="shared" si="7"/>
        <v>79</v>
      </c>
      <c r="E41">
        <v>40</v>
      </c>
      <c r="G41">
        <f t="shared" si="0"/>
        <v>0</v>
      </c>
      <c r="H41">
        <f t="shared" si="1"/>
        <v>39000</v>
      </c>
      <c r="I41">
        <f t="shared" si="2"/>
        <v>7200</v>
      </c>
      <c r="J41">
        <f t="shared" si="3"/>
        <v>79000</v>
      </c>
      <c r="K41">
        <f t="shared" si="4"/>
        <v>0</v>
      </c>
      <c r="L41">
        <f t="shared" si="5"/>
        <v>0</v>
      </c>
      <c r="M41">
        <f t="shared" si="6"/>
        <v>0</v>
      </c>
    </row>
    <row r="42" spans="4:13" x14ac:dyDescent="0.3">
      <c r="D42">
        <f t="shared" si="7"/>
        <v>80</v>
      </c>
      <c r="E42">
        <v>41</v>
      </c>
      <c r="G42">
        <f t="shared" si="0"/>
        <v>0</v>
      </c>
      <c r="H42">
        <f t="shared" si="1"/>
        <v>40000</v>
      </c>
      <c r="I42">
        <f t="shared" si="2"/>
        <v>7200</v>
      </c>
      <c r="J42">
        <f t="shared" si="3"/>
        <v>80000</v>
      </c>
      <c r="K42">
        <f t="shared" si="4"/>
        <v>0</v>
      </c>
      <c r="L42">
        <f t="shared" si="5"/>
        <v>0</v>
      </c>
      <c r="M42">
        <f t="shared" si="6"/>
        <v>0</v>
      </c>
    </row>
    <row r="43" spans="4:13" x14ac:dyDescent="0.3">
      <c r="D43">
        <f t="shared" si="7"/>
        <v>81</v>
      </c>
      <c r="E43">
        <v>42</v>
      </c>
      <c r="G43">
        <f t="shared" si="0"/>
        <v>0</v>
      </c>
      <c r="H43">
        <f t="shared" si="1"/>
        <v>41000</v>
      </c>
      <c r="I43">
        <f t="shared" si="2"/>
        <v>7200</v>
      </c>
      <c r="J43">
        <f t="shared" si="3"/>
        <v>81000</v>
      </c>
      <c r="K43">
        <f t="shared" si="4"/>
        <v>0</v>
      </c>
      <c r="L43">
        <f t="shared" si="5"/>
        <v>0</v>
      </c>
      <c r="M43">
        <f t="shared" si="6"/>
        <v>0</v>
      </c>
    </row>
    <row r="44" spans="4:13" x14ac:dyDescent="0.3">
      <c r="D44">
        <f t="shared" si="7"/>
        <v>82</v>
      </c>
      <c r="E44">
        <v>43</v>
      </c>
      <c r="G44">
        <f t="shared" si="0"/>
        <v>0</v>
      </c>
      <c r="H44">
        <f t="shared" si="1"/>
        <v>42000</v>
      </c>
      <c r="I44">
        <f t="shared" si="2"/>
        <v>7200</v>
      </c>
      <c r="J44">
        <f t="shared" si="3"/>
        <v>82000</v>
      </c>
      <c r="K44">
        <f t="shared" si="4"/>
        <v>0</v>
      </c>
      <c r="L44">
        <f t="shared" si="5"/>
        <v>0</v>
      </c>
      <c r="M44">
        <f t="shared" si="6"/>
        <v>0</v>
      </c>
    </row>
    <row r="45" spans="4:13" x14ac:dyDescent="0.3">
      <c r="D45">
        <f t="shared" si="7"/>
        <v>83</v>
      </c>
      <c r="E45">
        <v>44</v>
      </c>
      <c r="G45">
        <f t="shared" si="0"/>
        <v>0</v>
      </c>
      <c r="H45">
        <f t="shared" si="1"/>
        <v>43000</v>
      </c>
      <c r="I45">
        <f t="shared" si="2"/>
        <v>7200</v>
      </c>
      <c r="J45">
        <f t="shared" si="3"/>
        <v>83000</v>
      </c>
      <c r="K45">
        <f t="shared" si="4"/>
        <v>0</v>
      </c>
      <c r="L45">
        <f t="shared" si="5"/>
        <v>0</v>
      </c>
      <c r="M45">
        <f t="shared" si="6"/>
        <v>0</v>
      </c>
    </row>
    <row r="46" spans="4:13" x14ac:dyDescent="0.3">
      <c r="D46">
        <f>D45+1</f>
        <v>84</v>
      </c>
      <c r="E46">
        <v>45</v>
      </c>
      <c r="G46">
        <f t="shared" si="0"/>
        <v>0</v>
      </c>
      <c r="H46">
        <f t="shared" si="1"/>
        <v>44000</v>
      </c>
      <c r="I46">
        <f t="shared" si="2"/>
        <v>7200</v>
      </c>
      <c r="J46">
        <f t="shared" si="3"/>
        <v>84000</v>
      </c>
      <c r="K46">
        <f t="shared" si="4"/>
        <v>0</v>
      </c>
      <c r="L46">
        <f t="shared" si="5"/>
        <v>0</v>
      </c>
      <c r="M46">
        <f t="shared" si="6"/>
        <v>0</v>
      </c>
    </row>
    <row r="47" spans="4:13" x14ac:dyDescent="0.3">
      <c r="D47">
        <f t="shared" si="7"/>
        <v>85</v>
      </c>
      <c r="E47">
        <v>46</v>
      </c>
      <c r="G47">
        <f t="shared" si="0"/>
        <v>0</v>
      </c>
      <c r="H47">
        <f t="shared" si="1"/>
        <v>45000</v>
      </c>
      <c r="I47">
        <f t="shared" si="2"/>
        <v>7200</v>
      </c>
      <c r="J47">
        <f t="shared" si="3"/>
        <v>85000</v>
      </c>
      <c r="K47">
        <f t="shared" si="4"/>
        <v>0</v>
      </c>
      <c r="L47">
        <f t="shared" si="5"/>
        <v>0</v>
      </c>
      <c r="M47">
        <f t="shared" si="6"/>
        <v>0</v>
      </c>
    </row>
    <row r="48" spans="4:13" x14ac:dyDescent="0.3">
      <c r="D48">
        <f t="shared" si="7"/>
        <v>86</v>
      </c>
      <c r="E48">
        <v>47</v>
      </c>
      <c r="G48">
        <f t="shared" si="0"/>
        <v>0</v>
      </c>
      <c r="H48">
        <f t="shared" si="1"/>
        <v>46000</v>
      </c>
      <c r="I48">
        <f t="shared" si="2"/>
        <v>7200</v>
      </c>
      <c r="J48">
        <f t="shared" si="3"/>
        <v>86000</v>
      </c>
      <c r="K48">
        <f t="shared" si="4"/>
        <v>0</v>
      </c>
      <c r="L48">
        <f t="shared" si="5"/>
        <v>0</v>
      </c>
      <c r="M48">
        <f t="shared" si="6"/>
        <v>0</v>
      </c>
    </row>
    <row r="49" spans="4:13" x14ac:dyDescent="0.3">
      <c r="D49">
        <f t="shared" si="7"/>
        <v>87</v>
      </c>
      <c r="E49">
        <v>48</v>
      </c>
      <c r="G49">
        <f t="shared" si="0"/>
        <v>0</v>
      </c>
      <c r="H49">
        <f t="shared" si="1"/>
        <v>47000</v>
      </c>
      <c r="I49">
        <f t="shared" si="2"/>
        <v>7200</v>
      </c>
      <c r="J49">
        <f t="shared" si="3"/>
        <v>87000</v>
      </c>
      <c r="K49">
        <f t="shared" si="4"/>
        <v>0</v>
      </c>
      <c r="L49">
        <f t="shared" si="5"/>
        <v>0</v>
      </c>
      <c r="M49">
        <f t="shared" si="6"/>
        <v>0</v>
      </c>
    </row>
    <row r="50" spans="4:13" x14ac:dyDescent="0.3">
      <c r="D50">
        <f>D49+1</f>
        <v>88</v>
      </c>
      <c r="E50">
        <v>49</v>
      </c>
      <c r="G50">
        <f t="shared" si="0"/>
        <v>0</v>
      </c>
      <c r="H50">
        <f t="shared" si="1"/>
        <v>48000</v>
      </c>
      <c r="I50">
        <f t="shared" si="2"/>
        <v>7200</v>
      </c>
      <c r="J50">
        <f t="shared" si="3"/>
        <v>88000</v>
      </c>
      <c r="K50">
        <f t="shared" si="4"/>
        <v>0</v>
      </c>
      <c r="L50">
        <f t="shared" si="5"/>
        <v>0</v>
      </c>
      <c r="M50">
        <f t="shared" si="6"/>
        <v>0</v>
      </c>
    </row>
    <row r="51" spans="4:13" x14ac:dyDescent="0.3">
      <c r="D51">
        <f t="shared" si="7"/>
        <v>89</v>
      </c>
      <c r="E51">
        <v>50</v>
      </c>
      <c r="G51">
        <f t="shared" si="0"/>
        <v>0</v>
      </c>
      <c r="H51">
        <f t="shared" si="1"/>
        <v>49000</v>
      </c>
      <c r="I51">
        <f t="shared" si="2"/>
        <v>7200</v>
      </c>
      <c r="J51">
        <f t="shared" si="3"/>
        <v>89000</v>
      </c>
      <c r="K51">
        <f t="shared" si="4"/>
        <v>0</v>
      </c>
      <c r="L51">
        <f t="shared" si="5"/>
        <v>0</v>
      </c>
      <c r="M51">
        <f t="shared" si="6"/>
        <v>0</v>
      </c>
    </row>
    <row r="52" spans="4:13" x14ac:dyDescent="0.3">
      <c r="D52">
        <f t="shared" si="7"/>
        <v>90</v>
      </c>
      <c r="E52">
        <v>51</v>
      </c>
      <c r="G52">
        <f t="shared" si="0"/>
        <v>0</v>
      </c>
      <c r="H52">
        <f t="shared" si="1"/>
        <v>50000</v>
      </c>
      <c r="I52">
        <f t="shared" si="2"/>
        <v>7200</v>
      </c>
      <c r="J52">
        <f t="shared" si="3"/>
        <v>90000</v>
      </c>
      <c r="K52">
        <f t="shared" si="4"/>
        <v>0</v>
      </c>
      <c r="L52">
        <f t="shared" si="5"/>
        <v>0</v>
      </c>
      <c r="M52">
        <f t="shared" si="6"/>
        <v>0</v>
      </c>
    </row>
    <row r="53" spans="4:13" x14ac:dyDescent="0.3">
      <c r="D53">
        <f t="shared" si="7"/>
        <v>91</v>
      </c>
      <c r="E53">
        <v>52</v>
      </c>
      <c r="G53">
        <f t="shared" si="0"/>
        <v>0</v>
      </c>
      <c r="H53">
        <f t="shared" si="1"/>
        <v>51000</v>
      </c>
      <c r="I53">
        <f t="shared" si="2"/>
        <v>7200</v>
      </c>
      <c r="J53">
        <f t="shared" si="3"/>
        <v>91000</v>
      </c>
      <c r="K53">
        <f t="shared" si="4"/>
        <v>0</v>
      </c>
      <c r="L53">
        <f t="shared" si="5"/>
        <v>0</v>
      </c>
      <c r="M53">
        <f t="shared" si="6"/>
        <v>0</v>
      </c>
    </row>
    <row r="54" spans="4:13" x14ac:dyDescent="0.3">
      <c r="D54">
        <f t="shared" si="7"/>
        <v>92</v>
      </c>
      <c r="E54">
        <v>53</v>
      </c>
      <c r="G54">
        <f t="shared" si="0"/>
        <v>0</v>
      </c>
      <c r="H54">
        <f t="shared" si="1"/>
        <v>52000</v>
      </c>
      <c r="I54">
        <f t="shared" si="2"/>
        <v>7200</v>
      </c>
      <c r="J54">
        <f t="shared" si="3"/>
        <v>92000</v>
      </c>
      <c r="K54">
        <f t="shared" si="4"/>
        <v>0</v>
      </c>
      <c r="L54">
        <f t="shared" si="5"/>
        <v>0</v>
      </c>
      <c r="M54">
        <f t="shared" si="6"/>
        <v>0</v>
      </c>
    </row>
    <row r="55" spans="4:13" x14ac:dyDescent="0.3">
      <c r="D55">
        <f t="shared" si="7"/>
        <v>93</v>
      </c>
      <c r="E55">
        <v>54</v>
      </c>
      <c r="G55">
        <f t="shared" si="0"/>
        <v>0</v>
      </c>
      <c r="H55">
        <f t="shared" si="1"/>
        <v>53000</v>
      </c>
      <c r="I55">
        <f t="shared" si="2"/>
        <v>7200</v>
      </c>
      <c r="J55">
        <f t="shared" si="3"/>
        <v>93000</v>
      </c>
      <c r="K55">
        <f t="shared" si="4"/>
        <v>0</v>
      </c>
      <c r="L55">
        <f t="shared" si="5"/>
        <v>0</v>
      </c>
      <c r="M55">
        <f t="shared" si="6"/>
        <v>0</v>
      </c>
    </row>
    <row r="56" spans="4:13" x14ac:dyDescent="0.3">
      <c r="D56">
        <f t="shared" si="7"/>
        <v>94</v>
      </c>
      <c r="E56">
        <v>55</v>
      </c>
      <c r="G56">
        <f t="shared" si="0"/>
        <v>0</v>
      </c>
      <c r="H56">
        <f t="shared" si="1"/>
        <v>54000</v>
      </c>
      <c r="I56">
        <f t="shared" si="2"/>
        <v>7200</v>
      </c>
      <c r="J56">
        <f t="shared" si="3"/>
        <v>94000</v>
      </c>
      <c r="K56">
        <f t="shared" si="4"/>
        <v>0</v>
      </c>
      <c r="L56">
        <f t="shared" si="5"/>
        <v>0</v>
      </c>
      <c r="M56">
        <f t="shared" si="6"/>
        <v>0</v>
      </c>
    </row>
    <row r="57" spans="4:13" x14ac:dyDescent="0.3">
      <c r="D57">
        <f t="shared" si="7"/>
        <v>95</v>
      </c>
      <c r="E57">
        <v>56</v>
      </c>
      <c r="G57">
        <f t="shared" si="0"/>
        <v>0</v>
      </c>
      <c r="H57">
        <f t="shared" si="1"/>
        <v>0</v>
      </c>
      <c r="I57">
        <f t="shared" si="2"/>
        <v>7200</v>
      </c>
      <c r="J57">
        <f t="shared" si="3"/>
        <v>95000</v>
      </c>
      <c r="K57">
        <f t="shared" si="4"/>
        <v>0</v>
      </c>
      <c r="L57">
        <f t="shared" si="5"/>
        <v>0</v>
      </c>
      <c r="M57">
        <f t="shared" si="6"/>
        <v>0</v>
      </c>
    </row>
    <row r="58" spans="4:13" x14ac:dyDescent="0.3">
      <c r="D58">
        <f t="shared" si="7"/>
        <v>96</v>
      </c>
      <c r="E58">
        <v>57</v>
      </c>
      <c r="G58">
        <f t="shared" si="0"/>
        <v>0</v>
      </c>
      <c r="H58">
        <f t="shared" si="1"/>
        <v>0</v>
      </c>
      <c r="I58">
        <f t="shared" si="2"/>
        <v>7200</v>
      </c>
      <c r="J58">
        <f t="shared" si="3"/>
        <v>96000</v>
      </c>
      <c r="K58">
        <f t="shared" si="4"/>
        <v>0</v>
      </c>
      <c r="L58">
        <f t="shared" si="5"/>
        <v>0</v>
      </c>
      <c r="M58">
        <f t="shared" si="6"/>
        <v>0</v>
      </c>
    </row>
    <row r="59" spans="4:13" x14ac:dyDescent="0.3">
      <c r="D59">
        <f t="shared" si="7"/>
        <v>97</v>
      </c>
      <c r="E59">
        <v>58</v>
      </c>
      <c r="G59">
        <f t="shared" si="0"/>
        <v>0</v>
      </c>
      <c r="H59">
        <f t="shared" si="1"/>
        <v>0</v>
      </c>
      <c r="I59">
        <f t="shared" si="2"/>
        <v>7200</v>
      </c>
      <c r="J59">
        <f t="shared" si="3"/>
        <v>97000</v>
      </c>
      <c r="K59">
        <f t="shared" si="4"/>
        <v>0</v>
      </c>
      <c r="L59">
        <f t="shared" si="5"/>
        <v>0</v>
      </c>
      <c r="M59">
        <f t="shared" si="6"/>
        <v>0</v>
      </c>
    </row>
    <row r="60" spans="4:13" x14ac:dyDescent="0.3">
      <c r="D60">
        <f>D59+1</f>
        <v>98</v>
      </c>
      <c r="E60">
        <v>59</v>
      </c>
      <c r="G60">
        <f t="shared" si="0"/>
        <v>0</v>
      </c>
      <c r="H60">
        <f t="shared" si="1"/>
        <v>0</v>
      </c>
      <c r="I60">
        <f t="shared" si="2"/>
        <v>7200</v>
      </c>
      <c r="J60">
        <f t="shared" si="3"/>
        <v>98000</v>
      </c>
      <c r="K60">
        <f t="shared" si="4"/>
        <v>0</v>
      </c>
      <c r="L60">
        <f t="shared" si="5"/>
        <v>0</v>
      </c>
      <c r="M60">
        <f t="shared" si="6"/>
        <v>0</v>
      </c>
    </row>
    <row r="61" spans="4:13" x14ac:dyDescent="0.3">
      <c r="D61">
        <f t="shared" si="7"/>
        <v>99</v>
      </c>
      <c r="E61">
        <v>60</v>
      </c>
      <c r="G61">
        <f t="shared" si="0"/>
        <v>0</v>
      </c>
      <c r="H61">
        <f t="shared" si="1"/>
        <v>0</v>
      </c>
      <c r="I61">
        <f t="shared" si="2"/>
        <v>7200</v>
      </c>
      <c r="J61">
        <f t="shared" si="3"/>
        <v>99000</v>
      </c>
      <c r="K61">
        <f t="shared" si="4"/>
        <v>0</v>
      </c>
      <c r="L61">
        <f t="shared" si="5"/>
        <v>0</v>
      </c>
      <c r="M61">
        <f t="shared" si="6"/>
        <v>0</v>
      </c>
    </row>
    <row r="62" spans="4:13" x14ac:dyDescent="0.3">
      <c r="D62">
        <f t="shared" si="7"/>
        <v>100</v>
      </c>
      <c r="E62">
        <v>61</v>
      </c>
      <c r="G62">
        <f t="shared" si="0"/>
        <v>0</v>
      </c>
      <c r="H62">
        <f t="shared" si="1"/>
        <v>0</v>
      </c>
      <c r="I62">
        <f t="shared" si="2"/>
        <v>7200</v>
      </c>
      <c r="J62">
        <f t="shared" si="3"/>
        <v>100000</v>
      </c>
      <c r="K62">
        <f t="shared" si="4"/>
        <v>0</v>
      </c>
      <c r="L62">
        <f t="shared" si="5"/>
        <v>0</v>
      </c>
      <c r="M62">
        <f t="shared" si="6"/>
        <v>0</v>
      </c>
    </row>
    <row r="63" spans="4:13" x14ac:dyDescent="0.3">
      <c r="D63">
        <f t="shared" si="7"/>
        <v>101</v>
      </c>
      <c r="E63">
        <v>62</v>
      </c>
      <c r="G63">
        <f t="shared" si="0"/>
        <v>0</v>
      </c>
      <c r="H63">
        <f t="shared" si="1"/>
        <v>0</v>
      </c>
      <c r="I63">
        <f t="shared" si="2"/>
        <v>7200</v>
      </c>
      <c r="J63">
        <f t="shared" si="3"/>
        <v>0</v>
      </c>
      <c r="K63">
        <f t="shared" si="4"/>
        <v>0</v>
      </c>
      <c r="L63">
        <f t="shared" si="5"/>
        <v>0</v>
      </c>
      <c r="M63">
        <f t="shared" si="6"/>
        <v>0</v>
      </c>
    </row>
    <row r="64" spans="4:13" x14ac:dyDescent="0.3">
      <c r="D64">
        <f t="shared" si="7"/>
        <v>102</v>
      </c>
      <c r="E64">
        <v>63</v>
      </c>
      <c r="G64">
        <f t="shared" si="0"/>
        <v>0</v>
      </c>
      <c r="H64">
        <f t="shared" si="1"/>
        <v>0</v>
      </c>
      <c r="I64">
        <f t="shared" si="2"/>
        <v>7200</v>
      </c>
      <c r="J64">
        <f t="shared" si="3"/>
        <v>0</v>
      </c>
      <c r="K64">
        <f t="shared" si="4"/>
        <v>0</v>
      </c>
      <c r="L64">
        <f t="shared" si="5"/>
        <v>0</v>
      </c>
      <c r="M64">
        <f t="shared" si="6"/>
        <v>0</v>
      </c>
    </row>
    <row r="65" spans="4:13" x14ac:dyDescent="0.3">
      <c r="D65">
        <f t="shared" si="7"/>
        <v>103</v>
      </c>
      <c r="E65">
        <v>64</v>
      </c>
      <c r="G65">
        <f t="shared" si="0"/>
        <v>0</v>
      </c>
      <c r="H65">
        <f t="shared" si="1"/>
        <v>0</v>
      </c>
      <c r="I65">
        <f t="shared" si="2"/>
        <v>7200</v>
      </c>
      <c r="J65">
        <f t="shared" si="3"/>
        <v>0</v>
      </c>
      <c r="K65">
        <f t="shared" si="4"/>
        <v>0</v>
      </c>
      <c r="L65">
        <f t="shared" si="5"/>
        <v>0</v>
      </c>
      <c r="M65">
        <f t="shared" si="6"/>
        <v>0</v>
      </c>
    </row>
    <row r="66" spans="4:13" x14ac:dyDescent="0.3">
      <c r="D66">
        <f t="shared" si="7"/>
        <v>104</v>
      </c>
      <c r="E66">
        <v>65</v>
      </c>
      <c r="G66">
        <f t="shared" si="0"/>
        <v>0</v>
      </c>
      <c r="H66">
        <f t="shared" si="1"/>
        <v>0</v>
      </c>
      <c r="I66">
        <f t="shared" si="2"/>
        <v>7200</v>
      </c>
      <c r="J66">
        <f t="shared" si="3"/>
        <v>0</v>
      </c>
      <c r="K66">
        <f t="shared" si="4"/>
        <v>0</v>
      </c>
      <c r="L66">
        <f t="shared" si="5"/>
        <v>0</v>
      </c>
      <c r="M66">
        <f t="shared" si="6"/>
        <v>0</v>
      </c>
    </row>
    <row r="67" spans="4:13" x14ac:dyDescent="0.3">
      <c r="D67">
        <f>D66+1</f>
        <v>105</v>
      </c>
      <c r="E67">
        <v>66</v>
      </c>
      <c r="G67">
        <f t="shared" ref="G67:G74" si="8">IF(OR(D67&lt;$B$9,D67&gt;$B$9+$B$3-1),0,15000)</f>
        <v>0</v>
      </c>
      <c r="H67">
        <f t="shared" ref="H67:H74" si="9">IF(OR(D67&lt;65,D67&gt;94),0,(D67-40)*1000)</f>
        <v>0</v>
      </c>
      <c r="I67">
        <f t="shared" ref="I67:I74" si="10">IF(OR(D67&lt;$B$9,D67&gt;110),0,7200)</f>
        <v>7200</v>
      </c>
      <c r="J67">
        <f t="shared" ref="J67:J74" si="11">IF(OR(D67&lt;60,D67&gt;100),0,D67*1000)</f>
        <v>0</v>
      </c>
      <c r="K67">
        <f t="shared" ref="K67:K74" si="12">IF(OR(D67&lt;$B$9,D67&gt;$B$9+$B$3-1),0,IF(D67&lt;$B$9+$B$3/2,19000,25000))</f>
        <v>0</v>
      </c>
      <c r="L67">
        <f t="shared" ref="L67:L74" si="13">IF(OR(D67&lt;$B$9,D67&gt;$B$9+$B$3-1),0,100000/$B$3)</f>
        <v>0</v>
      </c>
      <c r="M67">
        <f t="shared" ref="M67:M74" si="14">IF(OR(D67&lt;$B$9,D67&gt;$B$9+$B$3-1), 0,IF(AND(ISEVEN($B$9),ISEVEN(D67)),30000,IF(AND(ISODD($B$9),ISODD(D67)),30000,0)))</f>
        <v>0</v>
      </c>
    </row>
    <row r="68" spans="4:13" x14ac:dyDescent="0.3">
      <c r="D68">
        <f t="shared" si="7"/>
        <v>106</v>
      </c>
      <c r="E68">
        <v>67</v>
      </c>
      <c r="G68">
        <f t="shared" si="8"/>
        <v>0</v>
      </c>
      <c r="H68">
        <f t="shared" si="9"/>
        <v>0</v>
      </c>
      <c r="I68">
        <f t="shared" si="10"/>
        <v>7200</v>
      </c>
      <c r="J68">
        <f t="shared" si="11"/>
        <v>0</v>
      </c>
      <c r="K68">
        <f t="shared" si="12"/>
        <v>0</v>
      </c>
      <c r="L68">
        <f t="shared" si="13"/>
        <v>0</v>
      </c>
      <c r="M68">
        <f t="shared" si="14"/>
        <v>0</v>
      </c>
    </row>
    <row r="69" spans="4:13" x14ac:dyDescent="0.3">
      <c r="D69">
        <f t="shared" ref="D69:D70" si="15">D68+1</f>
        <v>107</v>
      </c>
      <c r="E69">
        <v>68</v>
      </c>
      <c r="G69">
        <f t="shared" si="8"/>
        <v>0</v>
      </c>
      <c r="H69">
        <f t="shared" si="9"/>
        <v>0</v>
      </c>
      <c r="I69">
        <f t="shared" si="10"/>
        <v>7200</v>
      </c>
      <c r="J69">
        <f t="shared" si="11"/>
        <v>0</v>
      </c>
      <c r="K69">
        <f t="shared" si="12"/>
        <v>0</v>
      </c>
      <c r="L69">
        <f t="shared" si="13"/>
        <v>0</v>
      </c>
      <c r="M69">
        <f t="shared" si="14"/>
        <v>0</v>
      </c>
    </row>
    <row r="70" spans="4:13" x14ac:dyDescent="0.3">
      <c r="D70">
        <f t="shared" si="15"/>
        <v>108</v>
      </c>
      <c r="E70">
        <v>69</v>
      </c>
      <c r="G70">
        <f t="shared" si="8"/>
        <v>0</v>
      </c>
      <c r="H70">
        <f t="shared" si="9"/>
        <v>0</v>
      </c>
      <c r="I70">
        <f t="shared" si="10"/>
        <v>7200</v>
      </c>
      <c r="J70">
        <f t="shared" si="11"/>
        <v>0</v>
      </c>
      <c r="K70">
        <f t="shared" si="12"/>
        <v>0</v>
      </c>
      <c r="L70">
        <f t="shared" si="13"/>
        <v>0</v>
      </c>
      <c r="M70">
        <f t="shared" si="14"/>
        <v>0</v>
      </c>
    </row>
    <row r="71" spans="4:13" x14ac:dyDescent="0.3">
      <c r="D71">
        <f>D70+1</f>
        <v>109</v>
      </c>
      <c r="E71">
        <v>70</v>
      </c>
      <c r="G71">
        <f t="shared" si="8"/>
        <v>0</v>
      </c>
      <c r="H71">
        <f t="shared" si="9"/>
        <v>0</v>
      </c>
      <c r="I71">
        <f t="shared" si="10"/>
        <v>7200</v>
      </c>
      <c r="J71">
        <f t="shared" si="11"/>
        <v>0</v>
      </c>
      <c r="K71">
        <f t="shared" si="12"/>
        <v>0</v>
      </c>
      <c r="L71">
        <f t="shared" si="13"/>
        <v>0</v>
      </c>
      <c r="M71">
        <f t="shared" si="14"/>
        <v>0</v>
      </c>
    </row>
    <row r="72" spans="4:13" x14ac:dyDescent="0.3">
      <c r="D72">
        <f t="shared" ref="D72" si="16">D71+1</f>
        <v>110</v>
      </c>
      <c r="E72">
        <v>71</v>
      </c>
      <c r="G72">
        <f t="shared" si="8"/>
        <v>0</v>
      </c>
      <c r="H72">
        <f t="shared" si="9"/>
        <v>0</v>
      </c>
      <c r="I72">
        <f t="shared" si="10"/>
        <v>7200</v>
      </c>
      <c r="J72">
        <f t="shared" si="11"/>
        <v>0</v>
      </c>
      <c r="K72">
        <f t="shared" si="12"/>
        <v>0</v>
      </c>
      <c r="L72">
        <f t="shared" si="13"/>
        <v>0</v>
      </c>
      <c r="M72">
        <f t="shared" si="14"/>
        <v>0</v>
      </c>
    </row>
    <row r="73" spans="4:13" x14ac:dyDescent="0.3">
      <c r="D73">
        <f>D72+1</f>
        <v>111</v>
      </c>
      <c r="E73">
        <v>72</v>
      </c>
      <c r="G73">
        <f t="shared" si="8"/>
        <v>0</v>
      </c>
      <c r="H73">
        <f t="shared" si="9"/>
        <v>0</v>
      </c>
      <c r="I73">
        <f t="shared" si="10"/>
        <v>0</v>
      </c>
      <c r="J73">
        <f t="shared" si="11"/>
        <v>0</v>
      </c>
      <c r="K73">
        <f t="shared" si="12"/>
        <v>0</v>
      </c>
      <c r="L73">
        <f t="shared" si="13"/>
        <v>0</v>
      </c>
      <c r="M73">
        <f t="shared" si="14"/>
        <v>0</v>
      </c>
    </row>
    <row r="74" spans="4:13" x14ac:dyDescent="0.3">
      <c r="D74">
        <f t="shared" ref="D74" si="17">D73+1</f>
        <v>112</v>
      </c>
      <c r="E74">
        <v>73</v>
      </c>
      <c r="G74">
        <f t="shared" si="8"/>
        <v>0</v>
      </c>
      <c r="H74">
        <f t="shared" si="9"/>
        <v>0</v>
      </c>
      <c r="I74">
        <f t="shared" si="10"/>
        <v>0</v>
      </c>
      <c r="J74">
        <f t="shared" si="11"/>
        <v>0</v>
      </c>
      <c r="K74">
        <f t="shared" si="12"/>
        <v>0</v>
      </c>
      <c r="L74">
        <f t="shared" si="13"/>
        <v>0</v>
      </c>
      <c r="M74">
        <f t="shared" si="14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1"/>
  <sheetViews>
    <sheetView workbookViewId="0">
      <selection activeCell="J13" sqref="J13"/>
    </sheetView>
  </sheetViews>
  <sheetFormatPr defaultRowHeight="14.4" x14ac:dyDescent="0.3"/>
  <cols>
    <col min="1" max="1" width="12" bestFit="1" customWidth="1"/>
    <col min="2" max="2" width="8.44140625" customWidth="1"/>
    <col min="3" max="5" width="20" customWidth="1"/>
  </cols>
  <sheetData>
    <row r="1" spans="1:5" x14ac:dyDescent="0.3">
      <c r="A1" s="5" t="s">
        <v>18</v>
      </c>
      <c r="B1" s="5" t="s">
        <v>19</v>
      </c>
      <c r="C1" s="5" t="s">
        <v>20</v>
      </c>
      <c r="D1" s="5" t="s">
        <v>21</v>
      </c>
      <c r="E1" s="5" t="s">
        <v>22</v>
      </c>
    </row>
    <row r="2" spans="1:5" x14ac:dyDescent="0.3">
      <c r="A2" s="2" t="s">
        <v>23</v>
      </c>
      <c r="B2" s="2">
        <v>5</v>
      </c>
      <c r="C2" s="2">
        <v>60</v>
      </c>
      <c r="D2" s="2">
        <v>67</v>
      </c>
      <c r="E2" s="2">
        <v>19</v>
      </c>
    </row>
    <row r="3" spans="1:5" x14ac:dyDescent="0.3">
      <c r="A3" s="2" t="s">
        <v>24</v>
      </c>
      <c r="B3" s="2">
        <v>4</v>
      </c>
      <c r="C3" s="2">
        <v>50</v>
      </c>
      <c r="D3" s="2"/>
      <c r="E3" s="2"/>
    </row>
    <row r="4" spans="1:5" x14ac:dyDescent="0.3">
      <c r="A4" s="2" t="s">
        <v>25</v>
      </c>
      <c r="B4" s="2">
        <v>3</v>
      </c>
      <c r="C4" s="2">
        <v>40</v>
      </c>
      <c r="D4" s="2">
        <v>50</v>
      </c>
      <c r="E4" s="2"/>
    </row>
    <row r="5" spans="1:5" x14ac:dyDescent="0.3">
      <c r="A5" s="2" t="s">
        <v>26</v>
      </c>
      <c r="B5" s="2">
        <v>1</v>
      </c>
      <c r="C5" s="2">
        <v>45</v>
      </c>
      <c r="D5" s="2">
        <v>48</v>
      </c>
      <c r="E5" s="2">
        <v>18</v>
      </c>
    </row>
    <row r="6" spans="1:5" x14ac:dyDescent="0.3">
      <c r="A6" s="2" t="s">
        <v>27</v>
      </c>
      <c r="B6" s="2">
        <v>2</v>
      </c>
      <c r="C6" s="2">
        <v>52</v>
      </c>
      <c r="D6" s="6"/>
      <c r="E6" s="6"/>
    </row>
    <row r="7" spans="1:5" x14ac:dyDescent="0.3">
      <c r="A7" s="2" t="s">
        <v>28</v>
      </c>
      <c r="B7" s="2">
        <v>2</v>
      </c>
      <c r="C7" s="2">
        <v>63</v>
      </c>
      <c r="D7" s="6"/>
      <c r="E7" s="6"/>
    </row>
    <row r="8" spans="1:5" x14ac:dyDescent="0.3">
      <c r="A8" s="2" t="s">
        <v>29</v>
      </c>
      <c r="B8" s="2">
        <v>4</v>
      </c>
      <c r="C8" s="2">
        <v>64</v>
      </c>
      <c r="D8" s="6"/>
      <c r="E8" s="6"/>
    </row>
    <row r="9" spans="1:5" x14ac:dyDescent="0.3">
      <c r="A9" s="2" t="s">
        <v>30</v>
      </c>
      <c r="B9" s="2">
        <v>3</v>
      </c>
      <c r="C9" s="2">
        <v>48</v>
      </c>
      <c r="D9" s="6">
        <v>60</v>
      </c>
      <c r="E9" s="6"/>
    </row>
    <row r="10" spans="1:5" x14ac:dyDescent="0.3">
      <c r="A10" s="2" t="s">
        <v>31</v>
      </c>
      <c r="B10" s="2">
        <v>4</v>
      </c>
      <c r="C10" s="2">
        <v>46</v>
      </c>
      <c r="D10" s="6"/>
      <c r="E10" s="6"/>
    </row>
    <row r="11" spans="1:5" x14ac:dyDescent="0.3">
      <c r="A11" s="2" t="s">
        <v>32</v>
      </c>
      <c r="B11" s="2">
        <v>5</v>
      </c>
      <c r="C11" s="2">
        <v>58</v>
      </c>
      <c r="D11" s="6">
        <v>63</v>
      </c>
      <c r="E11" s="6">
        <v>20</v>
      </c>
    </row>
    <row r="12" spans="1:5" x14ac:dyDescent="0.3">
      <c r="A12" s="2" t="s">
        <v>33</v>
      </c>
      <c r="B12" s="2">
        <v>7</v>
      </c>
      <c r="C12" s="2">
        <v>55</v>
      </c>
      <c r="D12" s="6">
        <v>64</v>
      </c>
      <c r="E12" s="6">
        <v>15</v>
      </c>
    </row>
    <row r="13" spans="1:5" x14ac:dyDescent="0.3">
      <c r="A13" s="2" t="s">
        <v>34</v>
      </c>
      <c r="B13" s="2">
        <v>1</v>
      </c>
      <c r="C13" s="2">
        <v>55</v>
      </c>
      <c r="D13" s="6">
        <v>68</v>
      </c>
      <c r="E13" s="6">
        <v>5</v>
      </c>
    </row>
    <row r="14" spans="1:5" x14ac:dyDescent="0.3">
      <c r="A14" s="2" t="s">
        <v>35</v>
      </c>
      <c r="B14" s="2">
        <v>1</v>
      </c>
      <c r="C14" s="2">
        <v>53</v>
      </c>
      <c r="D14" s="6">
        <v>54</v>
      </c>
      <c r="E14" s="6">
        <v>5</v>
      </c>
    </row>
    <row r="15" spans="1:5" x14ac:dyDescent="0.3">
      <c r="A15" s="2" t="s">
        <v>36</v>
      </c>
      <c r="B15" s="2">
        <v>1</v>
      </c>
      <c r="C15" s="2">
        <v>45</v>
      </c>
      <c r="D15" s="6">
        <v>58</v>
      </c>
      <c r="E15" s="6">
        <v>19</v>
      </c>
    </row>
    <row r="16" spans="1:5" x14ac:dyDescent="0.3">
      <c r="A16" s="2" t="s">
        <v>37</v>
      </c>
      <c r="B16" s="2">
        <v>6</v>
      </c>
      <c r="C16" s="2">
        <v>53</v>
      </c>
      <c r="D16" s="6">
        <v>67</v>
      </c>
      <c r="E16" s="6">
        <v>7</v>
      </c>
    </row>
    <row r="17" spans="1:5" x14ac:dyDescent="0.3">
      <c r="A17" s="2" t="s">
        <v>38</v>
      </c>
      <c r="B17" s="2">
        <v>7</v>
      </c>
      <c r="C17" s="2">
        <v>56</v>
      </c>
      <c r="D17" s="6">
        <v>58</v>
      </c>
      <c r="E17" s="6">
        <v>10</v>
      </c>
    </row>
    <row r="18" spans="1:5" x14ac:dyDescent="0.3">
      <c r="A18" s="2" t="s">
        <v>39</v>
      </c>
      <c r="B18" s="2">
        <v>5</v>
      </c>
      <c r="C18" s="2">
        <v>52</v>
      </c>
      <c r="D18" s="6">
        <v>61</v>
      </c>
      <c r="E18" s="6">
        <v>20</v>
      </c>
    </row>
    <row r="19" spans="1:5" x14ac:dyDescent="0.3">
      <c r="A19" s="2" t="s">
        <v>40</v>
      </c>
      <c r="B19" s="2">
        <v>2</v>
      </c>
      <c r="C19" s="2">
        <v>56</v>
      </c>
      <c r="D19" s="6"/>
      <c r="E19" s="6"/>
    </row>
    <row r="20" spans="1:5" x14ac:dyDescent="0.3">
      <c r="A20" s="2" t="s">
        <v>41</v>
      </c>
      <c r="B20" s="2">
        <v>2</v>
      </c>
      <c r="C20" s="2">
        <v>47</v>
      </c>
      <c r="D20" s="6"/>
      <c r="E20" s="6"/>
    </row>
    <row r="21" spans="1:5" x14ac:dyDescent="0.3">
      <c r="A21" s="2" t="s">
        <v>42</v>
      </c>
      <c r="B21" s="2">
        <v>3</v>
      </c>
      <c r="C21" s="2">
        <v>41</v>
      </c>
      <c r="D21" s="6">
        <v>41</v>
      </c>
      <c r="E21" s="6"/>
    </row>
    <row r="22" spans="1:5" x14ac:dyDescent="0.3">
      <c r="A22" s="2" t="s">
        <v>43</v>
      </c>
      <c r="B22" s="2">
        <v>6</v>
      </c>
      <c r="C22" s="2">
        <v>50</v>
      </c>
      <c r="D22" s="6">
        <v>58</v>
      </c>
      <c r="E22" s="6">
        <v>20</v>
      </c>
    </row>
    <row r="23" spans="1:5" x14ac:dyDescent="0.3">
      <c r="A23" s="2" t="s">
        <v>44</v>
      </c>
      <c r="B23" s="2">
        <v>4</v>
      </c>
      <c r="C23" s="2">
        <v>58</v>
      </c>
      <c r="D23" s="6"/>
      <c r="E23" s="6"/>
    </row>
    <row r="24" spans="1:5" x14ac:dyDescent="0.3">
      <c r="A24" s="2" t="s">
        <v>45</v>
      </c>
      <c r="B24" s="2">
        <v>1</v>
      </c>
      <c r="C24" s="2">
        <v>51</v>
      </c>
      <c r="D24" s="6">
        <v>57</v>
      </c>
      <c r="E24" s="6">
        <v>6</v>
      </c>
    </row>
    <row r="25" spans="1:5" x14ac:dyDescent="0.3">
      <c r="A25" s="2" t="s">
        <v>46</v>
      </c>
      <c r="B25" s="2">
        <v>5</v>
      </c>
      <c r="C25" s="2">
        <v>40</v>
      </c>
      <c r="D25" s="6">
        <v>43</v>
      </c>
      <c r="E25" s="6">
        <v>17</v>
      </c>
    </row>
    <row r="26" spans="1:5" x14ac:dyDescent="0.3">
      <c r="A26" s="2" t="s">
        <v>47</v>
      </c>
      <c r="B26" s="2">
        <v>7</v>
      </c>
      <c r="C26" s="2">
        <v>47</v>
      </c>
      <c r="D26" s="6">
        <v>61</v>
      </c>
      <c r="E26" s="6">
        <v>5</v>
      </c>
    </row>
    <row r="27" spans="1:5" x14ac:dyDescent="0.3">
      <c r="A27" s="2" t="s">
        <v>48</v>
      </c>
      <c r="B27" s="2">
        <v>5</v>
      </c>
      <c r="C27" s="2">
        <v>57</v>
      </c>
      <c r="D27" s="6">
        <v>60</v>
      </c>
      <c r="E27" s="6">
        <v>20</v>
      </c>
    </row>
    <row r="28" spans="1:5" x14ac:dyDescent="0.3">
      <c r="A28" s="2" t="s">
        <v>49</v>
      </c>
      <c r="B28" s="2">
        <v>1</v>
      </c>
      <c r="C28" s="2">
        <v>52</v>
      </c>
      <c r="D28" s="6">
        <v>66</v>
      </c>
      <c r="E28" s="6">
        <v>12</v>
      </c>
    </row>
    <row r="29" spans="1:5" x14ac:dyDescent="0.3">
      <c r="A29" s="2" t="s">
        <v>50</v>
      </c>
      <c r="B29" s="2">
        <v>3</v>
      </c>
      <c r="C29" s="2">
        <v>67</v>
      </c>
      <c r="D29" s="6">
        <v>71</v>
      </c>
      <c r="E29" s="6"/>
    </row>
    <row r="30" spans="1:5" x14ac:dyDescent="0.3">
      <c r="A30" s="2" t="s">
        <v>51</v>
      </c>
      <c r="B30" s="2">
        <v>7</v>
      </c>
      <c r="C30" s="2">
        <v>42</v>
      </c>
      <c r="D30" s="6">
        <v>46</v>
      </c>
      <c r="E30" s="6">
        <v>16</v>
      </c>
    </row>
    <row r="31" spans="1:5" x14ac:dyDescent="0.3">
      <c r="A31" s="2" t="s">
        <v>52</v>
      </c>
      <c r="B31" s="2">
        <v>1</v>
      </c>
      <c r="C31" s="2">
        <v>60</v>
      </c>
      <c r="D31" s="6">
        <v>66</v>
      </c>
      <c r="E31" s="6">
        <v>8</v>
      </c>
    </row>
    <row r="32" spans="1:5" x14ac:dyDescent="0.3">
      <c r="A32" s="2" t="s">
        <v>53</v>
      </c>
      <c r="B32" s="2">
        <v>1</v>
      </c>
      <c r="C32" s="2">
        <v>45</v>
      </c>
      <c r="D32" s="6">
        <v>45</v>
      </c>
      <c r="E32" s="6">
        <v>19</v>
      </c>
    </row>
    <row r="33" spans="1:5" x14ac:dyDescent="0.3">
      <c r="A33" s="2" t="s">
        <v>54</v>
      </c>
      <c r="B33" s="2">
        <v>1</v>
      </c>
      <c r="C33" s="2">
        <v>63</v>
      </c>
      <c r="D33" s="6">
        <v>69</v>
      </c>
      <c r="E33" s="6">
        <v>6</v>
      </c>
    </row>
    <row r="34" spans="1:5" x14ac:dyDescent="0.3">
      <c r="A34" s="2" t="s">
        <v>55</v>
      </c>
      <c r="B34" s="2">
        <v>1</v>
      </c>
      <c r="C34" s="2">
        <v>42</v>
      </c>
      <c r="D34" s="6">
        <v>43</v>
      </c>
      <c r="E34" s="6">
        <v>19</v>
      </c>
    </row>
    <row r="35" spans="1:5" x14ac:dyDescent="0.3">
      <c r="A35" s="2" t="s">
        <v>56</v>
      </c>
      <c r="B35" s="2">
        <v>5</v>
      </c>
      <c r="C35" s="2">
        <v>44</v>
      </c>
      <c r="D35" s="6">
        <v>57</v>
      </c>
      <c r="E35" s="6">
        <v>5</v>
      </c>
    </row>
    <row r="36" spans="1:5" x14ac:dyDescent="0.3">
      <c r="A36" s="2" t="s">
        <v>57</v>
      </c>
      <c r="B36" s="2">
        <v>1</v>
      </c>
      <c r="C36" s="2">
        <v>63</v>
      </c>
      <c r="D36" s="6">
        <v>69</v>
      </c>
      <c r="E36" s="6">
        <v>20</v>
      </c>
    </row>
    <row r="37" spans="1:5" x14ac:dyDescent="0.3">
      <c r="A37" s="2" t="s">
        <v>58</v>
      </c>
      <c r="B37" s="2">
        <v>1</v>
      </c>
      <c r="C37" s="2">
        <v>68</v>
      </c>
      <c r="D37" s="6">
        <v>69</v>
      </c>
      <c r="E37" s="6">
        <v>17</v>
      </c>
    </row>
    <row r="38" spans="1:5" x14ac:dyDescent="0.3">
      <c r="A38" s="2" t="s">
        <v>59</v>
      </c>
      <c r="B38" s="2">
        <v>2</v>
      </c>
      <c r="C38" s="2">
        <v>42</v>
      </c>
      <c r="D38" s="6"/>
      <c r="E38" s="6"/>
    </row>
    <row r="39" spans="1:5" x14ac:dyDescent="0.3">
      <c r="A39" s="2" t="s">
        <v>60</v>
      </c>
      <c r="B39" s="2">
        <v>2</v>
      </c>
      <c r="C39" s="2">
        <v>67</v>
      </c>
      <c r="D39" s="6"/>
      <c r="E39" s="6"/>
    </row>
    <row r="40" spans="1:5" x14ac:dyDescent="0.3">
      <c r="A40" s="2" t="s">
        <v>61</v>
      </c>
      <c r="B40" s="2">
        <v>3</v>
      </c>
      <c r="C40" s="2">
        <v>70</v>
      </c>
      <c r="D40" s="6">
        <v>72</v>
      </c>
      <c r="E40" s="6"/>
    </row>
    <row r="41" spans="1:5" x14ac:dyDescent="0.3">
      <c r="A41" s="2" t="s">
        <v>62</v>
      </c>
      <c r="B41" s="2">
        <v>1</v>
      </c>
      <c r="C41" s="2">
        <v>69</v>
      </c>
      <c r="D41" s="6">
        <v>78</v>
      </c>
      <c r="E41" s="6">
        <v>6</v>
      </c>
    </row>
    <row r="42" spans="1:5" x14ac:dyDescent="0.3">
      <c r="A42" s="2" t="s">
        <v>63</v>
      </c>
      <c r="B42" s="2">
        <v>2</v>
      </c>
      <c r="C42" s="2">
        <v>41</v>
      </c>
      <c r="D42" s="6"/>
      <c r="E42" s="6"/>
    </row>
    <row r="43" spans="1:5" x14ac:dyDescent="0.3">
      <c r="A43" s="2" t="s">
        <v>64</v>
      </c>
      <c r="B43" s="2">
        <v>2</v>
      </c>
      <c r="C43" s="2">
        <v>49</v>
      </c>
      <c r="D43" s="6"/>
      <c r="E43" s="6"/>
    </row>
    <row r="44" spans="1:5" x14ac:dyDescent="0.3">
      <c r="A44" s="2" t="s">
        <v>65</v>
      </c>
      <c r="B44" s="2">
        <v>7</v>
      </c>
      <c r="C44" s="2">
        <v>44</v>
      </c>
      <c r="D44" s="6">
        <v>59</v>
      </c>
      <c r="E44" s="6">
        <v>6</v>
      </c>
    </row>
    <row r="45" spans="1:5" x14ac:dyDescent="0.3">
      <c r="A45" s="2" t="s">
        <v>66</v>
      </c>
      <c r="B45" s="2">
        <v>6</v>
      </c>
      <c r="C45" s="2">
        <v>45</v>
      </c>
      <c r="D45" s="6">
        <v>52</v>
      </c>
      <c r="E45" s="6">
        <v>20</v>
      </c>
    </row>
    <row r="46" spans="1:5" x14ac:dyDescent="0.3">
      <c r="A46" s="2" t="s">
        <v>67</v>
      </c>
      <c r="B46" s="2">
        <v>4</v>
      </c>
      <c r="C46" s="2">
        <v>50</v>
      </c>
      <c r="D46" s="6"/>
      <c r="E46" s="6"/>
    </row>
    <row r="47" spans="1:5" x14ac:dyDescent="0.3">
      <c r="A47" s="2" t="s">
        <v>68</v>
      </c>
      <c r="B47" s="2">
        <v>7</v>
      </c>
      <c r="C47" s="2">
        <v>49</v>
      </c>
      <c r="D47" s="6">
        <v>63</v>
      </c>
      <c r="E47" s="6">
        <v>11</v>
      </c>
    </row>
    <row r="48" spans="1:5" x14ac:dyDescent="0.3">
      <c r="A48" s="2" t="s">
        <v>69</v>
      </c>
      <c r="B48" s="2">
        <v>6</v>
      </c>
      <c r="C48" s="2">
        <v>55</v>
      </c>
      <c r="D48" s="6">
        <v>57</v>
      </c>
      <c r="E48" s="6">
        <v>5</v>
      </c>
    </row>
    <row r="49" spans="1:5" x14ac:dyDescent="0.3">
      <c r="A49" s="2" t="s">
        <v>70</v>
      </c>
      <c r="B49" s="2">
        <v>2</v>
      </c>
      <c r="C49" s="2">
        <v>58</v>
      </c>
      <c r="D49" s="6"/>
      <c r="E49" s="6"/>
    </row>
    <row r="50" spans="1:5" x14ac:dyDescent="0.3">
      <c r="A50" s="2" t="s">
        <v>71</v>
      </c>
      <c r="B50" s="2">
        <v>6</v>
      </c>
      <c r="C50" s="2">
        <v>60</v>
      </c>
      <c r="D50" s="6">
        <v>73</v>
      </c>
      <c r="E50" s="6">
        <v>18</v>
      </c>
    </row>
    <row r="51" spans="1:5" x14ac:dyDescent="0.3">
      <c r="A51" s="2" t="s">
        <v>72</v>
      </c>
      <c r="B51" s="2">
        <v>7</v>
      </c>
      <c r="C51" s="2">
        <v>59</v>
      </c>
      <c r="D51" s="6">
        <v>60</v>
      </c>
      <c r="E51" s="6">
        <v>16</v>
      </c>
    </row>
    <row r="52" spans="1:5" x14ac:dyDescent="0.3">
      <c r="A52" s="2" t="s">
        <v>73</v>
      </c>
      <c r="B52" s="2">
        <v>5</v>
      </c>
      <c r="C52" s="2">
        <v>42</v>
      </c>
      <c r="D52" s="6">
        <v>55</v>
      </c>
      <c r="E52" s="6">
        <v>18</v>
      </c>
    </row>
    <row r="53" spans="1:5" x14ac:dyDescent="0.3">
      <c r="A53" s="2" t="s">
        <v>74</v>
      </c>
      <c r="B53" s="2">
        <v>3</v>
      </c>
      <c r="C53" s="2">
        <v>66</v>
      </c>
      <c r="D53" s="6">
        <v>78</v>
      </c>
      <c r="E53" s="6"/>
    </row>
    <row r="54" spans="1:5" x14ac:dyDescent="0.3">
      <c r="A54" s="2" t="s">
        <v>75</v>
      </c>
      <c r="B54" s="2">
        <v>3</v>
      </c>
      <c r="C54" s="2">
        <v>49</v>
      </c>
      <c r="D54" s="6">
        <v>50</v>
      </c>
      <c r="E54" s="6"/>
    </row>
    <row r="55" spans="1:5" x14ac:dyDescent="0.3">
      <c r="A55" s="2" t="s">
        <v>76</v>
      </c>
      <c r="B55" s="2">
        <v>1</v>
      </c>
      <c r="C55" s="2">
        <v>54</v>
      </c>
      <c r="D55" s="6">
        <v>55</v>
      </c>
      <c r="E55" s="6">
        <v>12</v>
      </c>
    </row>
    <row r="56" spans="1:5" x14ac:dyDescent="0.3">
      <c r="A56" s="2" t="s">
        <v>77</v>
      </c>
      <c r="B56" s="2">
        <v>4</v>
      </c>
      <c r="C56" s="2">
        <v>56</v>
      </c>
      <c r="D56" s="6"/>
      <c r="E56" s="6"/>
    </row>
    <row r="57" spans="1:5" x14ac:dyDescent="0.3">
      <c r="A57" s="2" t="s">
        <v>78</v>
      </c>
      <c r="B57" s="2">
        <v>2</v>
      </c>
      <c r="C57" s="2">
        <v>58</v>
      </c>
      <c r="D57" s="6"/>
      <c r="E57" s="6"/>
    </row>
    <row r="58" spans="1:5" x14ac:dyDescent="0.3">
      <c r="A58" s="2" t="s">
        <v>79</v>
      </c>
      <c r="B58" s="2">
        <v>3</v>
      </c>
      <c r="C58" s="2">
        <v>63</v>
      </c>
      <c r="D58" s="6">
        <v>78</v>
      </c>
      <c r="E58" s="6"/>
    </row>
    <row r="59" spans="1:5" x14ac:dyDescent="0.3">
      <c r="A59" s="2" t="s">
        <v>80</v>
      </c>
      <c r="B59" s="2">
        <v>3</v>
      </c>
      <c r="C59" s="2">
        <v>51</v>
      </c>
      <c r="D59" s="6">
        <v>64</v>
      </c>
      <c r="E59" s="6"/>
    </row>
    <row r="60" spans="1:5" x14ac:dyDescent="0.3">
      <c r="A60" s="2" t="s">
        <v>81</v>
      </c>
      <c r="B60" s="2">
        <v>4</v>
      </c>
      <c r="C60" s="2">
        <v>55</v>
      </c>
      <c r="D60" s="6"/>
      <c r="E60" s="6"/>
    </row>
    <row r="61" spans="1:5" x14ac:dyDescent="0.3">
      <c r="A61" s="2" t="s">
        <v>82</v>
      </c>
      <c r="B61" s="2">
        <v>1</v>
      </c>
      <c r="C61" s="2">
        <v>41</v>
      </c>
      <c r="D61" s="6">
        <v>51</v>
      </c>
      <c r="E61" s="6">
        <v>12</v>
      </c>
    </row>
    <row r="62" spans="1:5" x14ac:dyDescent="0.3">
      <c r="A62" s="2" t="s">
        <v>83</v>
      </c>
      <c r="B62" s="2">
        <v>1</v>
      </c>
      <c r="C62" s="2">
        <v>54</v>
      </c>
      <c r="D62" s="6">
        <v>63</v>
      </c>
      <c r="E62" s="6">
        <v>17</v>
      </c>
    </row>
    <row r="63" spans="1:5" x14ac:dyDescent="0.3">
      <c r="A63" s="2" t="s">
        <v>84</v>
      </c>
      <c r="B63" s="2">
        <v>7</v>
      </c>
      <c r="C63" s="2">
        <v>42</v>
      </c>
      <c r="D63" s="6">
        <v>57</v>
      </c>
      <c r="E63" s="6">
        <v>17</v>
      </c>
    </row>
    <row r="64" spans="1:5" x14ac:dyDescent="0.3">
      <c r="A64" s="2" t="s">
        <v>85</v>
      </c>
      <c r="B64" s="2">
        <v>4</v>
      </c>
      <c r="C64" s="2">
        <v>53</v>
      </c>
      <c r="D64" s="6"/>
      <c r="E64" s="6"/>
    </row>
    <row r="65" spans="1:5" x14ac:dyDescent="0.3">
      <c r="A65" s="2" t="s">
        <v>86</v>
      </c>
      <c r="B65" s="2">
        <v>2</v>
      </c>
      <c r="C65" s="2">
        <v>58</v>
      </c>
      <c r="D65" s="6"/>
      <c r="E65" s="6"/>
    </row>
    <row r="66" spans="1:5" x14ac:dyDescent="0.3">
      <c r="A66" s="2" t="s">
        <v>87</v>
      </c>
      <c r="B66" s="2">
        <v>1</v>
      </c>
      <c r="C66" s="2">
        <v>54</v>
      </c>
      <c r="D66" s="6">
        <v>66</v>
      </c>
      <c r="E66" s="6">
        <v>20</v>
      </c>
    </row>
    <row r="67" spans="1:5" x14ac:dyDescent="0.3">
      <c r="A67" s="2" t="s">
        <v>88</v>
      </c>
      <c r="B67" s="2">
        <v>7</v>
      </c>
      <c r="C67" s="2">
        <v>47</v>
      </c>
      <c r="D67" s="6">
        <v>57</v>
      </c>
      <c r="E67" s="6">
        <v>8</v>
      </c>
    </row>
    <row r="68" spans="1:5" x14ac:dyDescent="0.3">
      <c r="A68" s="2" t="s">
        <v>89</v>
      </c>
      <c r="B68" s="2">
        <v>2</v>
      </c>
      <c r="C68" s="2">
        <v>60</v>
      </c>
      <c r="D68" s="6"/>
      <c r="E68" s="6"/>
    </row>
    <row r="69" spans="1:5" x14ac:dyDescent="0.3">
      <c r="A69" s="2" t="s">
        <v>90</v>
      </c>
      <c r="B69" s="2">
        <v>2</v>
      </c>
      <c r="C69" s="2">
        <v>49</v>
      </c>
      <c r="D69" s="6"/>
      <c r="E69" s="6"/>
    </row>
    <row r="70" spans="1:5" x14ac:dyDescent="0.3">
      <c r="A70" s="2" t="s">
        <v>91</v>
      </c>
      <c r="B70" s="2">
        <v>3</v>
      </c>
      <c r="C70" s="2">
        <v>53</v>
      </c>
      <c r="D70" s="6">
        <v>58</v>
      </c>
      <c r="E70" s="6"/>
    </row>
    <row r="71" spans="1:5" x14ac:dyDescent="0.3">
      <c r="A71" s="2" t="s">
        <v>92</v>
      </c>
      <c r="B71" s="2">
        <v>7</v>
      </c>
      <c r="C71" s="2">
        <v>50</v>
      </c>
      <c r="D71" s="6">
        <v>50</v>
      </c>
      <c r="E71" s="6">
        <v>15</v>
      </c>
    </row>
    <row r="72" spans="1:5" x14ac:dyDescent="0.3">
      <c r="A72" s="2" t="s">
        <v>93</v>
      </c>
      <c r="B72" s="2">
        <v>7</v>
      </c>
      <c r="C72" s="2">
        <v>44</v>
      </c>
      <c r="D72" s="6">
        <v>46</v>
      </c>
      <c r="E72" s="6">
        <v>9</v>
      </c>
    </row>
    <row r="73" spans="1:5" x14ac:dyDescent="0.3">
      <c r="A73" s="2" t="s">
        <v>94</v>
      </c>
      <c r="B73" s="2">
        <v>1</v>
      </c>
      <c r="C73" s="2">
        <v>56</v>
      </c>
      <c r="D73" s="6">
        <v>59</v>
      </c>
      <c r="E73" s="6">
        <v>14</v>
      </c>
    </row>
    <row r="74" spans="1:5" x14ac:dyDescent="0.3">
      <c r="A74" s="2" t="s">
        <v>95</v>
      </c>
      <c r="B74" s="2">
        <v>4</v>
      </c>
      <c r="C74" s="2">
        <v>51</v>
      </c>
      <c r="D74" s="6"/>
      <c r="E74" s="6"/>
    </row>
    <row r="75" spans="1:5" x14ac:dyDescent="0.3">
      <c r="A75" s="2" t="s">
        <v>96</v>
      </c>
      <c r="B75" s="2">
        <v>5</v>
      </c>
      <c r="C75" s="2">
        <v>68</v>
      </c>
      <c r="D75" s="6">
        <v>72</v>
      </c>
      <c r="E75" s="6">
        <v>5</v>
      </c>
    </row>
    <row r="76" spans="1:5" x14ac:dyDescent="0.3">
      <c r="A76" s="2" t="s">
        <v>97</v>
      </c>
      <c r="B76" s="2">
        <v>3</v>
      </c>
      <c r="C76" s="2">
        <v>57</v>
      </c>
      <c r="D76" s="6">
        <v>64</v>
      </c>
      <c r="E76" s="6"/>
    </row>
    <row r="77" spans="1:5" x14ac:dyDescent="0.3">
      <c r="A77" s="2" t="s">
        <v>98</v>
      </c>
      <c r="B77" s="2">
        <v>3</v>
      </c>
      <c r="C77" s="2">
        <v>45</v>
      </c>
      <c r="D77" s="6">
        <v>48</v>
      </c>
      <c r="E77" s="6"/>
    </row>
    <row r="78" spans="1:5" x14ac:dyDescent="0.3">
      <c r="A78" s="2" t="s">
        <v>99</v>
      </c>
      <c r="B78" s="2">
        <v>1</v>
      </c>
      <c r="C78" s="2">
        <v>54</v>
      </c>
      <c r="D78" s="6">
        <v>64</v>
      </c>
      <c r="E78" s="6">
        <v>11</v>
      </c>
    </row>
    <row r="79" spans="1:5" x14ac:dyDescent="0.3">
      <c r="A79" s="2" t="s">
        <v>100</v>
      </c>
      <c r="B79" s="2">
        <v>3</v>
      </c>
      <c r="C79" s="2">
        <v>51</v>
      </c>
      <c r="D79" s="6">
        <v>62</v>
      </c>
      <c r="E79" s="6"/>
    </row>
    <row r="80" spans="1:5" x14ac:dyDescent="0.3">
      <c r="A80" s="2" t="s">
        <v>101</v>
      </c>
      <c r="B80" s="2">
        <v>2</v>
      </c>
      <c r="C80" s="2">
        <v>46</v>
      </c>
      <c r="D80" s="6"/>
      <c r="E80" s="6"/>
    </row>
    <row r="81" spans="1:5" x14ac:dyDescent="0.3">
      <c r="A81" s="2" t="s">
        <v>102</v>
      </c>
      <c r="B81" s="2">
        <v>3</v>
      </c>
      <c r="C81" s="2">
        <v>66</v>
      </c>
      <c r="D81" s="6">
        <v>66</v>
      </c>
      <c r="E81" s="6"/>
    </row>
    <row r="82" spans="1:5" x14ac:dyDescent="0.3">
      <c r="A82" s="2" t="s">
        <v>103</v>
      </c>
      <c r="B82" s="2">
        <v>7</v>
      </c>
      <c r="C82" s="2">
        <v>62</v>
      </c>
      <c r="D82" s="6">
        <v>68</v>
      </c>
      <c r="E82" s="6">
        <v>17</v>
      </c>
    </row>
    <row r="83" spans="1:5" x14ac:dyDescent="0.3">
      <c r="A83" s="2" t="s">
        <v>104</v>
      </c>
      <c r="B83" s="2">
        <v>3</v>
      </c>
      <c r="C83" s="2">
        <v>57</v>
      </c>
      <c r="D83" s="6">
        <v>70</v>
      </c>
      <c r="E83" s="6"/>
    </row>
    <row r="84" spans="1:5" x14ac:dyDescent="0.3">
      <c r="A84" s="2" t="s">
        <v>105</v>
      </c>
      <c r="B84" s="2">
        <v>5</v>
      </c>
      <c r="C84" s="2">
        <v>47</v>
      </c>
      <c r="D84" s="6">
        <v>47</v>
      </c>
      <c r="E84" s="6">
        <v>7</v>
      </c>
    </row>
    <row r="85" spans="1:5" x14ac:dyDescent="0.3">
      <c r="A85" s="2" t="s">
        <v>106</v>
      </c>
      <c r="B85" s="2">
        <v>2</v>
      </c>
      <c r="C85" s="2">
        <v>54</v>
      </c>
      <c r="D85" s="6"/>
      <c r="E85" s="6"/>
    </row>
    <row r="86" spans="1:5" x14ac:dyDescent="0.3">
      <c r="A86" s="2" t="s">
        <v>107</v>
      </c>
      <c r="B86" s="2">
        <v>1</v>
      </c>
      <c r="C86" s="2">
        <v>42</v>
      </c>
      <c r="D86" s="6">
        <v>51</v>
      </c>
      <c r="E86" s="6">
        <v>10</v>
      </c>
    </row>
    <row r="87" spans="1:5" x14ac:dyDescent="0.3">
      <c r="A87" s="2" t="s">
        <v>108</v>
      </c>
      <c r="B87" s="2">
        <v>7</v>
      </c>
      <c r="C87" s="2">
        <v>45</v>
      </c>
      <c r="D87" s="6">
        <v>48</v>
      </c>
      <c r="E87" s="6">
        <v>9</v>
      </c>
    </row>
    <row r="88" spans="1:5" x14ac:dyDescent="0.3">
      <c r="A88" s="2" t="s">
        <v>109</v>
      </c>
      <c r="B88" s="2">
        <v>7</v>
      </c>
      <c r="C88" s="2">
        <v>60</v>
      </c>
      <c r="D88" s="6">
        <v>61</v>
      </c>
      <c r="E88" s="6">
        <v>13</v>
      </c>
    </row>
    <row r="89" spans="1:5" x14ac:dyDescent="0.3">
      <c r="A89" s="2" t="s">
        <v>110</v>
      </c>
      <c r="B89" s="2">
        <v>1</v>
      </c>
      <c r="C89" s="2">
        <v>63</v>
      </c>
      <c r="D89" s="6">
        <v>73</v>
      </c>
      <c r="E89" s="6">
        <v>6</v>
      </c>
    </row>
    <row r="90" spans="1:5" x14ac:dyDescent="0.3">
      <c r="A90" s="2" t="s">
        <v>111</v>
      </c>
      <c r="B90" s="2">
        <v>2</v>
      </c>
      <c r="C90" s="2">
        <v>70</v>
      </c>
      <c r="D90" s="6"/>
      <c r="E90" s="6"/>
    </row>
    <row r="91" spans="1:5" x14ac:dyDescent="0.3">
      <c r="A91" s="2" t="s">
        <v>112</v>
      </c>
      <c r="B91" s="2">
        <v>2</v>
      </c>
      <c r="C91" s="2">
        <v>69</v>
      </c>
      <c r="D91" s="6"/>
      <c r="E91" s="6"/>
    </row>
    <row r="92" spans="1:5" x14ac:dyDescent="0.3">
      <c r="A92" s="2" t="s">
        <v>113</v>
      </c>
      <c r="B92" s="2">
        <v>3</v>
      </c>
      <c r="C92" s="2">
        <v>63</v>
      </c>
      <c r="D92" s="6">
        <v>66</v>
      </c>
      <c r="E92" s="6"/>
    </row>
    <row r="93" spans="1:5" x14ac:dyDescent="0.3">
      <c r="A93" s="2" t="s">
        <v>114</v>
      </c>
      <c r="B93" s="2">
        <v>3</v>
      </c>
      <c r="C93" s="2">
        <v>68</v>
      </c>
      <c r="D93" s="6">
        <v>80</v>
      </c>
      <c r="E93" s="6"/>
    </row>
    <row r="94" spans="1:5" x14ac:dyDescent="0.3">
      <c r="A94" s="2" t="s">
        <v>115</v>
      </c>
      <c r="B94" s="2">
        <v>7</v>
      </c>
      <c r="C94" s="2">
        <v>63</v>
      </c>
      <c r="D94" s="6">
        <v>69</v>
      </c>
      <c r="E94" s="6">
        <v>17</v>
      </c>
    </row>
    <row r="95" spans="1:5" x14ac:dyDescent="0.3">
      <c r="A95" s="2" t="s">
        <v>116</v>
      </c>
      <c r="B95" s="2">
        <v>3</v>
      </c>
      <c r="C95" s="2">
        <v>45</v>
      </c>
      <c r="D95" s="6">
        <v>59</v>
      </c>
      <c r="E95" s="6"/>
    </row>
    <row r="96" spans="1:5" x14ac:dyDescent="0.3">
      <c r="A96" s="2" t="s">
        <v>117</v>
      </c>
      <c r="B96" s="2">
        <v>3</v>
      </c>
      <c r="C96" s="2">
        <v>55</v>
      </c>
      <c r="D96" s="6">
        <v>65</v>
      </c>
      <c r="E96" s="6"/>
    </row>
    <row r="97" spans="1:5" x14ac:dyDescent="0.3">
      <c r="A97" s="2" t="s">
        <v>118</v>
      </c>
      <c r="B97" s="2">
        <v>3</v>
      </c>
      <c r="C97" s="2">
        <v>68</v>
      </c>
      <c r="D97" s="6">
        <v>69</v>
      </c>
      <c r="E97" s="6"/>
    </row>
    <row r="98" spans="1:5" x14ac:dyDescent="0.3">
      <c r="A98" s="2" t="s">
        <v>119</v>
      </c>
      <c r="B98" s="2">
        <v>1</v>
      </c>
      <c r="C98" s="2">
        <v>65</v>
      </c>
      <c r="D98" s="6">
        <v>80</v>
      </c>
      <c r="E98" s="6">
        <v>12</v>
      </c>
    </row>
    <row r="99" spans="1:5" x14ac:dyDescent="0.3">
      <c r="A99" s="2" t="s">
        <v>120</v>
      </c>
      <c r="B99" s="2">
        <v>3</v>
      </c>
      <c r="C99" s="2">
        <v>58</v>
      </c>
      <c r="D99" s="6">
        <v>60</v>
      </c>
      <c r="E99" s="6"/>
    </row>
    <row r="100" spans="1:5" x14ac:dyDescent="0.3">
      <c r="A100" s="2" t="s">
        <v>121</v>
      </c>
      <c r="B100" s="2">
        <v>3</v>
      </c>
      <c r="C100" s="2">
        <v>41</v>
      </c>
      <c r="D100" s="6">
        <v>51</v>
      </c>
      <c r="E100" s="6"/>
    </row>
    <row r="101" spans="1:5" x14ac:dyDescent="0.3">
      <c r="A101" s="2" t="s">
        <v>122</v>
      </c>
      <c r="B101" s="2">
        <v>3</v>
      </c>
      <c r="C101" s="2">
        <v>61</v>
      </c>
      <c r="D101" s="6">
        <v>70</v>
      </c>
      <c r="E101" s="6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W106"/>
  <sheetViews>
    <sheetView workbookViewId="0">
      <selection activeCell="U3" sqref="U3"/>
    </sheetView>
  </sheetViews>
  <sheetFormatPr defaultRowHeight="14.4" x14ac:dyDescent="0.3"/>
  <cols>
    <col min="1" max="1" width="13.6640625" bestFit="1" customWidth="1"/>
    <col min="2" max="10" width="8.5546875" bestFit="1" customWidth="1"/>
    <col min="11" max="100" width="9.5546875" bestFit="1" customWidth="1"/>
    <col min="101" max="101" width="10.5546875" bestFit="1" customWidth="1"/>
  </cols>
  <sheetData>
    <row r="1" spans="1:101" x14ac:dyDescent="0.3">
      <c r="A1" s="5" t="s">
        <v>18</v>
      </c>
      <c r="B1" s="2" t="s">
        <v>23</v>
      </c>
      <c r="C1" s="2" t="s">
        <v>24</v>
      </c>
      <c r="D1" s="2" t="s">
        <v>25</v>
      </c>
      <c r="E1" s="2" t="s">
        <v>26</v>
      </c>
      <c r="F1" s="2" t="s">
        <v>27</v>
      </c>
      <c r="G1" s="2" t="s">
        <v>28</v>
      </c>
      <c r="H1" s="2" t="s">
        <v>29</v>
      </c>
      <c r="I1" s="2" t="s">
        <v>30</v>
      </c>
      <c r="J1" s="2" t="s">
        <v>31</v>
      </c>
      <c r="K1" s="2" t="s">
        <v>32</v>
      </c>
      <c r="L1" s="2" t="s">
        <v>33</v>
      </c>
      <c r="M1" s="2" t="s">
        <v>34</v>
      </c>
      <c r="N1" s="2" t="s">
        <v>35</v>
      </c>
      <c r="O1" s="2" t="s">
        <v>36</v>
      </c>
      <c r="P1" s="2" t="s">
        <v>37</v>
      </c>
      <c r="Q1" s="2" t="s">
        <v>38</v>
      </c>
      <c r="R1" s="2" t="s">
        <v>39</v>
      </c>
      <c r="S1" s="2" t="s">
        <v>40</v>
      </c>
      <c r="T1" s="2" t="s">
        <v>41</v>
      </c>
      <c r="U1" s="2" t="s">
        <v>42</v>
      </c>
      <c r="V1" s="2" t="s">
        <v>43</v>
      </c>
      <c r="W1" s="2" t="s">
        <v>44</v>
      </c>
      <c r="X1" s="2" t="s">
        <v>45</v>
      </c>
      <c r="Y1" s="2" t="s">
        <v>46</v>
      </c>
      <c r="Z1" s="2" t="s">
        <v>47</v>
      </c>
      <c r="AA1" s="2" t="s">
        <v>48</v>
      </c>
      <c r="AB1" s="2" t="s">
        <v>49</v>
      </c>
      <c r="AC1" s="2" t="s">
        <v>50</v>
      </c>
      <c r="AD1" s="2" t="s">
        <v>51</v>
      </c>
      <c r="AE1" s="2" t="s">
        <v>52</v>
      </c>
      <c r="AF1" s="2" t="s">
        <v>53</v>
      </c>
      <c r="AG1" s="2" t="s">
        <v>54</v>
      </c>
      <c r="AH1" s="2" t="s">
        <v>55</v>
      </c>
      <c r="AI1" s="2" t="s">
        <v>56</v>
      </c>
      <c r="AJ1" s="2" t="s">
        <v>57</v>
      </c>
      <c r="AK1" s="2" t="s">
        <v>58</v>
      </c>
      <c r="AL1" s="2" t="s">
        <v>59</v>
      </c>
      <c r="AM1" s="2" t="s">
        <v>60</v>
      </c>
      <c r="AN1" s="2" t="s">
        <v>61</v>
      </c>
      <c r="AO1" s="2" t="s">
        <v>62</v>
      </c>
      <c r="AP1" s="2" t="s">
        <v>63</v>
      </c>
      <c r="AQ1" s="2" t="s">
        <v>64</v>
      </c>
      <c r="AR1" s="2" t="s">
        <v>65</v>
      </c>
      <c r="AS1" s="2" t="s">
        <v>66</v>
      </c>
      <c r="AT1" s="2" t="s">
        <v>67</v>
      </c>
      <c r="AU1" s="2" t="s">
        <v>68</v>
      </c>
      <c r="AV1" s="2" t="s">
        <v>69</v>
      </c>
      <c r="AW1" s="2" t="s">
        <v>70</v>
      </c>
      <c r="AX1" s="2" t="s">
        <v>71</v>
      </c>
      <c r="AY1" s="2" t="s">
        <v>72</v>
      </c>
      <c r="AZ1" s="2" t="s">
        <v>73</v>
      </c>
      <c r="BA1" s="2" t="s">
        <v>74</v>
      </c>
      <c r="BB1" s="2" t="s">
        <v>75</v>
      </c>
      <c r="BC1" s="2" t="s">
        <v>76</v>
      </c>
      <c r="BD1" s="2" t="s">
        <v>77</v>
      </c>
      <c r="BE1" s="2" t="s">
        <v>78</v>
      </c>
      <c r="BF1" s="2" t="s">
        <v>79</v>
      </c>
      <c r="BG1" s="2" t="s">
        <v>80</v>
      </c>
      <c r="BH1" s="2" t="s">
        <v>81</v>
      </c>
      <c r="BI1" s="2" t="s">
        <v>82</v>
      </c>
      <c r="BJ1" s="2" t="s">
        <v>83</v>
      </c>
      <c r="BK1" s="2" t="s">
        <v>84</v>
      </c>
      <c r="BL1" s="2" t="s">
        <v>85</v>
      </c>
      <c r="BM1" s="2" t="s">
        <v>86</v>
      </c>
      <c r="BN1" s="2" t="s">
        <v>87</v>
      </c>
      <c r="BO1" s="2" t="s">
        <v>88</v>
      </c>
      <c r="BP1" s="2" t="s">
        <v>89</v>
      </c>
      <c r="BQ1" s="2" t="s">
        <v>90</v>
      </c>
      <c r="BR1" s="2" t="s">
        <v>91</v>
      </c>
      <c r="BS1" s="2" t="s">
        <v>92</v>
      </c>
      <c r="BT1" s="2" t="s">
        <v>93</v>
      </c>
      <c r="BU1" s="2" t="s">
        <v>94</v>
      </c>
      <c r="BV1" s="2" t="s">
        <v>95</v>
      </c>
      <c r="BW1" s="2" t="s">
        <v>96</v>
      </c>
      <c r="BX1" s="2" t="s">
        <v>97</v>
      </c>
      <c r="BY1" s="2" t="s">
        <v>98</v>
      </c>
      <c r="BZ1" s="2" t="s">
        <v>99</v>
      </c>
      <c r="CA1" s="2" t="s">
        <v>100</v>
      </c>
      <c r="CB1" s="2" t="s">
        <v>101</v>
      </c>
      <c r="CC1" s="2" t="s">
        <v>102</v>
      </c>
      <c r="CD1" s="2" t="s">
        <v>103</v>
      </c>
      <c r="CE1" s="2" t="s">
        <v>104</v>
      </c>
      <c r="CF1" s="2" t="s">
        <v>105</v>
      </c>
      <c r="CG1" s="2" t="s">
        <v>106</v>
      </c>
      <c r="CH1" s="2" t="s">
        <v>107</v>
      </c>
      <c r="CI1" s="2" t="s">
        <v>108</v>
      </c>
      <c r="CJ1" s="2" t="s">
        <v>109</v>
      </c>
      <c r="CK1" s="2" t="s">
        <v>110</v>
      </c>
      <c r="CL1" s="2" t="s">
        <v>111</v>
      </c>
      <c r="CM1" s="2" t="s">
        <v>112</v>
      </c>
      <c r="CN1" s="2" t="s">
        <v>113</v>
      </c>
      <c r="CO1" s="2" t="s">
        <v>114</v>
      </c>
      <c r="CP1" s="2" t="s">
        <v>115</v>
      </c>
      <c r="CQ1" s="2" t="s">
        <v>116</v>
      </c>
      <c r="CR1" s="2" t="s">
        <v>117</v>
      </c>
      <c r="CS1" s="2" t="s">
        <v>118</v>
      </c>
      <c r="CT1" s="2" t="s">
        <v>119</v>
      </c>
      <c r="CU1" s="2" t="s">
        <v>120</v>
      </c>
      <c r="CV1" s="2" t="s">
        <v>121</v>
      </c>
      <c r="CW1" s="2" t="s">
        <v>122</v>
      </c>
    </row>
    <row r="2" spans="1:101" x14ac:dyDescent="0.3">
      <c r="A2" s="5" t="s">
        <v>19</v>
      </c>
      <c r="B2" s="2">
        <v>5</v>
      </c>
      <c r="C2" s="2">
        <v>4</v>
      </c>
      <c r="D2" s="2">
        <v>3</v>
      </c>
      <c r="E2" s="2">
        <v>1</v>
      </c>
      <c r="F2" s="2">
        <v>2</v>
      </c>
      <c r="G2" s="2">
        <v>2</v>
      </c>
      <c r="H2" s="2">
        <v>4</v>
      </c>
      <c r="I2" s="2">
        <v>3</v>
      </c>
      <c r="J2" s="2">
        <v>4</v>
      </c>
      <c r="K2" s="2">
        <v>5</v>
      </c>
      <c r="L2" s="2">
        <v>7</v>
      </c>
      <c r="M2" s="2">
        <v>1</v>
      </c>
      <c r="N2" s="2">
        <v>1</v>
      </c>
      <c r="O2" s="2">
        <v>1</v>
      </c>
      <c r="P2" s="2">
        <v>6</v>
      </c>
      <c r="Q2" s="2">
        <v>7</v>
      </c>
      <c r="R2" s="2">
        <v>5</v>
      </c>
      <c r="S2" s="2">
        <v>2</v>
      </c>
      <c r="T2" s="2">
        <v>2</v>
      </c>
      <c r="U2" s="2">
        <v>3</v>
      </c>
      <c r="V2" s="2">
        <v>6</v>
      </c>
      <c r="W2" s="2">
        <v>4</v>
      </c>
      <c r="X2" s="2">
        <v>1</v>
      </c>
      <c r="Y2" s="2">
        <v>5</v>
      </c>
      <c r="Z2" s="2">
        <v>7</v>
      </c>
      <c r="AA2" s="2">
        <v>5</v>
      </c>
      <c r="AB2" s="2">
        <v>1</v>
      </c>
      <c r="AC2" s="2">
        <v>3</v>
      </c>
      <c r="AD2" s="2">
        <v>7</v>
      </c>
      <c r="AE2" s="2">
        <v>1</v>
      </c>
      <c r="AF2" s="2">
        <v>1</v>
      </c>
      <c r="AG2" s="2">
        <v>1</v>
      </c>
      <c r="AH2" s="2">
        <v>1</v>
      </c>
      <c r="AI2" s="2">
        <v>5</v>
      </c>
      <c r="AJ2" s="2">
        <v>1</v>
      </c>
      <c r="AK2" s="2">
        <v>1</v>
      </c>
      <c r="AL2" s="2">
        <v>2</v>
      </c>
      <c r="AM2" s="2">
        <v>2</v>
      </c>
      <c r="AN2" s="2">
        <v>3</v>
      </c>
      <c r="AO2" s="2">
        <v>1</v>
      </c>
      <c r="AP2" s="2">
        <v>2</v>
      </c>
      <c r="AQ2" s="2">
        <v>2</v>
      </c>
      <c r="AR2" s="2">
        <v>7</v>
      </c>
      <c r="AS2" s="2">
        <v>6</v>
      </c>
      <c r="AT2" s="2">
        <v>4</v>
      </c>
      <c r="AU2" s="2">
        <v>7</v>
      </c>
      <c r="AV2" s="2">
        <v>6</v>
      </c>
      <c r="AW2" s="2">
        <v>2</v>
      </c>
      <c r="AX2" s="2">
        <v>6</v>
      </c>
      <c r="AY2" s="2">
        <v>7</v>
      </c>
      <c r="AZ2" s="2">
        <v>5</v>
      </c>
      <c r="BA2" s="2">
        <v>3</v>
      </c>
      <c r="BB2" s="2">
        <v>3</v>
      </c>
      <c r="BC2" s="2">
        <v>1</v>
      </c>
      <c r="BD2" s="2">
        <v>4</v>
      </c>
      <c r="BE2" s="2">
        <v>2</v>
      </c>
      <c r="BF2" s="2">
        <v>3</v>
      </c>
      <c r="BG2" s="2">
        <v>3</v>
      </c>
      <c r="BH2" s="2">
        <v>4</v>
      </c>
      <c r="BI2" s="2">
        <v>1</v>
      </c>
      <c r="BJ2" s="2">
        <v>1</v>
      </c>
      <c r="BK2" s="2">
        <v>7</v>
      </c>
      <c r="BL2" s="2">
        <v>4</v>
      </c>
      <c r="BM2" s="2">
        <v>2</v>
      </c>
      <c r="BN2" s="2">
        <v>1</v>
      </c>
      <c r="BO2" s="2">
        <v>7</v>
      </c>
      <c r="BP2" s="2">
        <v>2</v>
      </c>
      <c r="BQ2" s="2">
        <v>2</v>
      </c>
      <c r="BR2" s="2">
        <v>3</v>
      </c>
      <c r="BS2" s="2">
        <v>7</v>
      </c>
      <c r="BT2" s="2">
        <v>7</v>
      </c>
      <c r="BU2" s="2">
        <v>1</v>
      </c>
      <c r="BV2" s="2">
        <v>4</v>
      </c>
      <c r="BW2" s="2">
        <v>5</v>
      </c>
      <c r="BX2" s="2">
        <v>3</v>
      </c>
      <c r="BY2" s="2">
        <v>3</v>
      </c>
      <c r="BZ2" s="2">
        <v>1</v>
      </c>
      <c r="CA2" s="2">
        <v>3</v>
      </c>
      <c r="CB2" s="2">
        <v>2</v>
      </c>
      <c r="CC2" s="2">
        <v>3</v>
      </c>
      <c r="CD2" s="2">
        <v>7</v>
      </c>
      <c r="CE2" s="2">
        <v>3</v>
      </c>
      <c r="CF2" s="2">
        <v>5</v>
      </c>
      <c r="CG2" s="2">
        <v>2</v>
      </c>
      <c r="CH2" s="2">
        <v>1</v>
      </c>
      <c r="CI2" s="2">
        <v>7</v>
      </c>
      <c r="CJ2" s="2">
        <v>7</v>
      </c>
      <c r="CK2" s="2">
        <v>1</v>
      </c>
      <c r="CL2" s="2">
        <v>2</v>
      </c>
      <c r="CM2" s="2">
        <v>2</v>
      </c>
      <c r="CN2" s="2">
        <v>3</v>
      </c>
      <c r="CO2" s="2">
        <v>3</v>
      </c>
      <c r="CP2" s="2">
        <v>7</v>
      </c>
      <c r="CQ2" s="2">
        <v>3</v>
      </c>
      <c r="CR2" s="2">
        <v>3</v>
      </c>
      <c r="CS2" s="2">
        <v>3</v>
      </c>
      <c r="CT2" s="2">
        <v>1</v>
      </c>
      <c r="CU2" s="2">
        <v>3</v>
      </c>
      <c r="CV2" s="2">
        <v>3</v>
      </c>
      <c r="CW2" s="2">
        <v>3</v>
      </c>
    </row>
    <row r="3" spans="1:101" x14ac:dyDescent="0.3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7200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101" x14ac:dyDescent="0.3">
      <c r="A4">
        <v>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7200</v>
      </c>
      <c r="V4">
        <v>0</v>
      </c>
      <c r="W4">
        <v>0</v>
      </c>
      <c r="X4">
        <v>0</v>
      </c>
      <c r="Y4">
        <v>19000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15000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</row>
    <row r="5" spans="1:101" x14ac:dyDescent="0.3">
      <c r="A5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7200</v>
      </c>
      <c r="V5">
        <v>0</v>
      </c>
      <c r="W5">
        <v>0</v>
      </c>
      <c r="X5">
        <v>0</v>
      </c>
      <c r="Y5">
        <v>19000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15000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</row>
    <row r="6" spans="1:101" x14ac:dyDescent="0.3">
      <c r="A6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7200</v>
      </c>
      <c r="V6">
        <v>0</v>
      </c>
      <c r="W6">
        <v>0</v>
      </c>
      <c r="X6">
        <v>0</v>
      </c>
      <c r="Y6">
        <v>19000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15000</v>
      </c>
      <c r="AG6">
        <v>0</v>
      </c>
      <c r="AH6">
        <v>15000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</row>
    <row r="7" spans="1:101" x14ac:dyDescent="0.3">
      <c r="A7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7200</v>
      </c>
      <c r="V7">
        <v>0</v>
      </c>
      <c r="W7">
        <v>0</v>
      </c>
      <c r="X7">
        <v>0</v>
      </c>
      <c r="Y7">
        <v>19000</v>
      </c>
      <c r="Z7">
        <v>0</v>
      </c>
      <c r="AA7">
        <v>0</v>
      </c>
      <c r="AB7">
        <v>0</v>
      </c>
      <c r="AC7">
        <v>0</v>
      </c>
      <c r="AD7">
        <v>30000</v>
      </c>
      <c r="AE7">
        <v>0</v>
      </c>
      <c r="AF7">
        <v>15000</v>
      </c>
      <c r="AG7">
        <v>0</v>
      </c>
      <c r="AH7">
        <v>15000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30000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</row>
    <row r="8" spans="1:101" x14ac:dyDescent="0.3">
      <c r="A8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7200</v>
      </c>
      <c r="V8">
        <v>0</v>
      </c>
      <c r="W8">
        <v>0</v>
      </c>
      <c r="X8">
        <v>0</v>
      </c>
      <c r="Y8">
        <v>19000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15000</v>
      </c>
      <c r="AG8">
        <v>0</v>
      </c>
      <c r="AH8">
        <v>15000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19000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</row>
    <row r="9" spans="1:101" x14ac:dyDescent="0.3">
      <c r="A9">
        <v>7</v>
      </c>
      <c r="B9">
        <v>0</v>
      </c>
      <c r="C9">
        <v>0</v>
      </c>
      <c r="D9">
        <v>0</v>
      </c>
      <c r="E9">
        <v>15000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7200</v>
      </c>
      <c r="V9">
        <v>0</v>
      </c>
      <c r="W9">
        <v>0</v>
      </c>
      <c r="X9">
        <v>0</v>
      </c>
      <c r="Y9">
        <v>19000</v>
      </c>
      <c r="Z9">
        <v>0</v>
      </c>
      <c r="AA9">
        <v>0</v>
      </c>
      <c r="AB9">
        <v>0</v>
      </c>
      <c r="AC9">
        <v>0</v>
      </c>
      <c r="AD9">
        <v>30000</v>
      </c>
      <c r="AE9">
        <v>0</v>
      </c>
      <c r="AF9">
        <v>15000</v>
      </c>
      <c r="AG9">
        <v>0</v>
      </c>
      <c r="AH9">
        <v>15000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30000</v>
      </c>
      <c r="BU9">
        <v>0</v>
      </c>
      <c r="BV9">
        <v>0</v>
      </c>
      <c r="BW9">
        <v>0</v>
      </c>
      <c r="BX9">
        <v>0</v>
      </c>
      <c r="BY9">
        <v>7200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19000</v>
      </c>
      <c r="CG9">
        <v>0</v>
      </c>
      <c r="CH9">
        <v>0</v>
      </c>
      <c r="CI9">
        <v>30000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</row>
    <row r="10" spans="1:101" x14ac:dyDescent="0.3">
      <c r="A10">
        <v>8</v>
      </c>
      <c r="B10">
        <v>0</v>
      </c>
      <c r="C10">
        <v>0</v>
      </c>
      <c r="D10">
        <v>0</v>
      </c>
      <c r="E10">
        <v>15000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7200</v>
      </c>
      <c r="V10">
        <v>0</v>
      </c>
      <c r="W10">
        <v>0</v>
      </c>
      <c r="X10">
        <v>0</v>
      </c>
      <c r="Y10">
        <v>19000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15000</v>
      </c>
      <c r="AG10">
        <v>0</v>
      </c>
      <c r="AH10">
        <v>15000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7200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19000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</row>
    <row r="11" spans="1:101" x14ac:dyDescent="0.3">
      <c r="A11">
        <v>9</v>
      </c>
      <c r="B11">
        <v>0</v>
      </c>
      <c r="C11">
        <v>0</v>
      </c>
      <c r="D11">
        <v>7200</v>
      </c>
      <c r="E11">
        <v>15000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7200</v>
      </c>
      <c r="V11">
        <v>0</v>
      </c>
      <c r="W11">
        <v>0</v>
      </c>
      <c r="X11">
        <v>0</v>
      </c>
      <c r="Y11">
        <v>19000</v>
      </c>
      <c r="Z11">
        <v>0</v>
      </c>
      <c r="AA11">
        <v>0</v>
      </c>
      <c r="AB11">
        <v>0</v>
      </c>
      <c r="AC11">
        <v>0</v>
      </c>
      <c r="AD11">
        <v>30000</v>
      </c>
      <c r="AE11">
        <v>0</v>
      </c>
      <c r="AF11">
        <v>15000</v>
      </c>
      <c r="AG11">
        <v>0</v>
      </c>
      <c r="AH11">
        <v>15000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7200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30000</v>
      </c>
      <c r="BT11">
        <v>30000</v>
      </c>
      <c r="BU11">
        <v>0</v>
      </c>
      <c r="BV11">
        <v>0</v>
      </c>
      <c r="BW11">
        <v>0</v>
      </c>
      <c r="BX11">
        <v>0</v>
      </c>
      <c r="BY11">
        <v>7200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19000</v>
      </c>
      <c r="CG11">
        <v>0</v>
      </c>
      <c r="CH11">
        <v>0</v>
      </c>
      <c r="CI11">
        <v>30000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</row>
    <row r="12" spans="1:101" x14ac:dyDescent="0.3">
      <c r="A12">
        <v>10</v>
      </c>
      <c r="B12">
        <v>0</v>
      </c>
      <c r="C12">
        <v>0</v>
      </c>
      <c r="D12">
        <v>7200</v>
      </c>
      <c r="E12">
        <v>15000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7200</v>
      </c>
      <c r="V12">
        <v>0</v>
      </c>
      <c r="W12">
        <v>0</v>
      </c>
      <c r="X12">
        <v>0</v>
      </c>
      <c r="Y12">
        <v>19000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15000</v>
      </c>
      <c r="AG12">
        <v>0</v>
      </c>
      <c r="AH12">
        <v>15000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7200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15000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7200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25000</v>
      </c>
      <c r="CG12">
        <v>0</v>
      </c>
      <c r="CH12">
        <v>15000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7200</v>
      </c>
      <c r="CW12">
        <v>0</v>
      </c>
    </row>
    <row r="13" spans="1:101" x14ac:dyDescent="0.3">
      <c r="A13">
        <v>11</v>
      </c>
      <c r="B13">
        <v>0</v>
      </c>
      <c r="C13">
        <v>0</v>
      </c>
      <c r="D13">
        <v>7200</v>
      </c>
      <c r="E13">
        <v>15000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7200</v>
      </c>
      <c r="V13">
        <v>0</v>
      </c>
      <c r="W13">
        <v>0</v>
      </c>
      <c r="X13">
        <v>0</v>
      </c>
      <c r="Y13">
        <v>25000</v>
      </c>
      <c r="Z13">
        <v>0</v>
      </c>
      <c r="AA13">
        <v>0</v>
      </c>
      <c r="AB13">
        <v>0</v>
      </c>
      <c r="AC13">
        <v>0</v>
      </c>
      <c r="AD13">
        <v>30000</v>
      </c>
      <c r="AE13">
        <v>0</v>
      </c>
      <c r="AF13">
        <v>15000</v>
      </c>
      <c r="AG13">
        <v>0</v>
      </c>
      <c r="AH13">
        <v>15000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5000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7200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15000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30000</v>
      </c>
      <c r="BT13">
        <v>30000</v>
      </c>
      <c r="BU13">
        <v>0</v>
      </c>
      <c r="BV13">
        <v>0</v>
      </c>
      <c r="BW13">
        <v>0</v>
      </c>
      <c r="BX13">
        <v>0</v>
      </c>
      <c r="BY13">
        <v>7200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25000</v>
      </c>
      <c r="CG13">
        <v>0</v>
      </c>
      <c r="CH13">
        <v>15000</v>
      </c>
      <c r="CI13">
        <v>30000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7200</v>
      </c>
      <c r="CW13">
        <v>0</v>
      </c>
    </row>
    <row r="14" spans="1:101" x14ac:dyDescent="0.3">
      <c r="A14">
        <v>12</v>
      </c>
      <c r="B14">
        <v>0</v>
      </c>
      <c r="C14">
        <v>0</v>
      </c>
      <c r="D14">
        <v>7200</v>
      </c>
      <c r="E14">
        <v>15000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7200</v>
      </c>
      <c r="V14">
        <v>0</v>
      </c>
      <c r="W14">
        <v>0</v>
      </c>
      <c r="X14">
        <v>0</v>
      </c>
      <c r="Y14">
        <v>25000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15000</v>
      </c>
      <c r="AG14">
        <v>0</v>
      </c>
      <c r="AH14">
        <v>15000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5000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7200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15000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7200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25000</v>
      </c>
      <c r="CG14">
        <v>0</v>
      </c>
      <c r="CH14">
        <v>15000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7200</v>
      </c>
      <c r="CW14">
        <v>0</v>
      </c>
    </row>
    <row r="15" spans="1:101" x14ac:dyDescent="0.3">
      <c r="A15">
        <v>13</v>
      </c>
      <c r="B15">
        <v>0</v>
      </c>
      <c r="C15">
        <v>0</v>
      </c>
      <c r="D15">
        <v>7200</v>
      </c>
      <c r="E15">
        <v>15000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15000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7200</v>
      </c>
      <c r="V15">
        <v>0</v>
      </c>
      <c r="W15">
        <v>0</v>
      </c>
      <c r="X15">
        <v>0</v>
      </c>
      <c r="Y15">
        <v>25000</v>
      </c>
      <c r="Z15">
        <v>0</v>
      </c>
      <c r="AA15">
        <v>0</v>
      </c>
      <c r="AB15">
        <v>0</v>
      </c>
      <c r="AC15">
        <v>0</v>
      </c>
      <c r="AD15">
        <v>30000</v>
      </c>
      <c r="AE15">
        <v>0</v>
      </c>
      <c r="AF15">
        <v>15000</v>
      </c>
      <c r="AG15">
        <v>0</v>
      </c>
      <c r="AH15">
        <v>15000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5000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7200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15000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30000</v>
      </c>
      <c r="BT15">
        <v>30000</v>
      </c>
      <c r="BU15">
        <v>0</v>
      </c>
      <c r="BV15">
        <v>0</v>
      </c>
      <c r="BW15">
        <v>0</v>
      </c>
      <c r="BX15">
        <v>0</v>
      </c>
      <c r="BY15">
        <v>7200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15000</v>
      </c>
      <c r="CI15">
        <v>30000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7200</v>
      </c>
      <c r="CW15">
        <v>0</v>
      </c>
    </row>
    <row r="16" spans="1:101" x14ac:dyDescent="0.3">
      <c r="A16">
        <v>14</v>
      </c>
      <c r="B16">
        <v>0</v>
      </c>
      <c r="C16">
        <v>0</v>
      </c>
      <c r="D16">
        <v>7200</v>
      </c>
      <c r="E16">
        <v>15000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15000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7200</v>
      </c>
      <c r="V16">
        <v>0</v>
      </c>
      <c r="W16">
        <v>0</v>
      </c>
      <c r="X16">
        <v>0</v>
      </c>
      <c r="Y16">
        <v>25000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15000</v>
      </c>
      <c r="AG16">
        <v>0</v>
      </c>
      <c r="AH16">
        <v>15000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5000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19000</v>
      </c>
      <c r="BA16">
        <v>0</v>
      </c>
      <c r="BB16">
        <v>7200</v>
      </c>
      <c r="BC16">
        <v>15000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15000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7200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15000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7200</v>
      </c>
      <c r="CW16">
        <v>0</v>
      </c>
    </row>
    <row r="17" spans="1:101" x14ac:dyDescent="0.3">
      <c r="A17">
        <v>15</v>
      </c>
      <c r="B17">
        <v>0</v>
      </c>
      <c r="C17">
        <v>0</v>
      </c>
      <c r="D17">
        <v>7200</v>
      </c>
      <c r="E17">
        <v>15000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15000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7200</v>
      </c>
      <c r="V17">
        <v>0</v>
      </c>
      <c r="W17">
        <v>0</v>
      </c>
      <c r="X17">
        <v>0</v>
      </c>
      <c r="Y17">
        <v>25000</v>
      </c>
      <c r="Z17">
        <v>0</v>
      </c>
      <c r="AA17">
        <v>0</v>
      </c>
      <c r="AB17">
        <v>0</v>
      </c>
      <c r="AC17">
        <v>0</v>
      </c>
      <c r="AD17">
        <v>30000</v>
      </c>
      <c r="AE17">
        <v>0</v>
      </c>
      <c r="AF17">
        <v>15000</v>
      </c>
      <c r="AG17">
        <v>0</v>
      </c>
      <c r="AH17">
        <v>15000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5000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19000</v>
      </c>
      <c r="BA17">
        <v>0</v>
      </c>
      <c r="BB17">
        <v>7200</v>
      </c>
      <c r="BC17">
        <v>15000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15000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30000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7200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15000</v>
      </c>
      <c r="CI17">
        <v>30000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7200</v>
      </c>
      <c r="CW17">
        <v>0</v>
      </c>
    </row>
    <row r="18" spans="1:101" x14ac:dyDescent="0.3">
      <c r="A18">
        <v>16</v>
      </c>
      <c r="B18">
        <v>0</v>
      </c>
      <c r="C18">
        <v>0</v>
      </c>
      <c r="D18">
        <v>7200</v>
      </c>
      <c r="E18">
        <v>15000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15000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7200</v>
      </c>
      <c r="V18">
        <v>0</v>
      </c>
      <c r="W18">
        <v>0</v>
      </c>
      <c r="X18">
        <v>15000</v>
      </c>
      <c r="Y18">
        <v>25000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15000</v>
      </c>
      <c r="AG18">
        <v>0</v>
      </c>
      <c r="AH18">
        <v>15000</v>
      </c>
      <c r="AI18">
        <v>19000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5000</v>
      </c>
      <c r="AT18">
        <v>0</v>
      </c>
      <c r="AU18">
        <v>0</v>
      </c>
      <c r="AV18">
        <v>20000</v>
      </c>
      <c r="AW18">
        <v>0</v>
      </c>
      <c r="AX18">
        <v>0</v>
      </c>
      <c r="AY18">
        <v>0</v>
      </c>
      <c r="AZ18">
        <v>19000</v>
      </c>
      <c r="BA18">
        <v>0</v>
      </c>
      <c r="BB18">
        <v>7200</v>
      </c>
      <c r="BC18">
        <v>15000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15000</v>
      </c>
      <c r="BJ18">
        <v>0</v>
      </c>
      <c r="BK18">
        <v>30000</v>
      </c>
      <c r="BL18">
        <v>0</v>
      </c>
      <c r="BM18">
        <v>0</v>
      </c>
      <c r="BN18">
        <v>0</v>
      </c>
      <c r="BO18">
        <v>30000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7200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15000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7200</v>
      </c>
      <c r="CW18">
        <v>0</v>
      </c>
    </row>
    <row r="19" spans="1:101" x14ac:dyDescent="0.3">
      <c r="A19">
        <v>17</v>
      </c>
      <c r="B19">
        <v>0</v>
      </c>
      <c r="C19">
        <v>0</v>
      </c>
      <c r="D19">
        <v>7200</v>
      </c>
      <c r="E19">
        <v>15000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15000</v>
      </c>
      <c r="O19">
        <v>15000</v>
      </c>
      <c r="P19">
        <v>0</v>
      </c>
      <c r="Q19">
        <v>30000</v>
      </c>
      <c r="R19">
        <v>0</v>
      </c>
      <c r="S19">
        <v>0</v>
      </c>
      <c r="T19">
        <v>0</v>
      </c>
      <c r="U19">
        <v>7200</v>
      </c>
      <c r="V19">
        <v>5000</v>
      </c>
      <c r="W19">
        <v>0</v>
      </c>
      <c r="X19">
        <v>15000</v>
      </c>
      <c r="Y19">
        <v>25000</v>
      </c>
      <c r="Z19">
        <v>0</v>
      </c>
      <c r="AA19">
        <v>0</v>
      </c>
      <c r="AB19">
        <v>0</v>
      </c>
      <c r="AC19">
        <v>0</v>
      </c>
      <c r="AD19">
        <v>30000</v>
      </c>
      <c r="AE19">
        <v>0</v>
      </c>
      <c r="AF19">
        <v>15000</v>
      </c>
      <c r="AG19">
        <v>0</v>
      </c>
      <c r="AH19">
        <v>15000</v>
      </c>
      <c r="AI19">
        <v>19000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5000</v>
      </c>
      <c r="AT19">
        <v>0</v>
      </c>
      <c r="AU19">
        <v>0</v>
      </c>
      <c r="AV19">
        <v>20000</v>
      </c>
      <c r="AW19">
        <v>0</v>
      </c>
      <c r="AX19">
        <v>0</v>
      </c>
      <c r="AY19">
        <v>0</v>
      </c>
      <c r="AZ19">
        <v>19000</v>
      </c>
      <c r="BA19">
        <v>0</v>
      </c>
      <c r="BB19">
        <v>7200</v>
      </c>
      <c r="BC19">
        <v>15000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15000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7200</v>
      </c>
      <c r="BS19">
        <v>30000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7200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15000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7200</v>
      </c>
      <c r="CW19">
        <v>0</v>
      </c>
    </row>
    <row r="20" spans="1:101" x14ac:dyDescent="0.3">
      <c r="A20">
        <v>18</v>
      </c>
      <c r="B20">
        <v>0</v>
      </c>
      <c r="C20">
        <v>0</v>
      </c>
      <c r="D20">
        <v>7200</v>
      </c>
      <c r="E20">
        <v>15000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15000</v>
      </c>
      <c r="P20">
        <v>0</v>
      </c>
      <c r="Q20">
        <v>0</v>
      </c>
      <c r="R20">
        <v>0</v>
      </c>
      <c r="S20">
        <v>0</v>
      </c>
      <c r="T20">
        <v>0</v>
      </c>
      <c r="U20">
        <v>7200</v>
      </c>
      <c r="V20">
        <v>5000</v>
      </c>
      <c r="W20">
        <v>0</v>
      </c>
      <c r="X20">
        <v>15000</v>
      </c>
      <c r="Y20">
        <v>25000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15000</v>
      </c>
      <c r="AG20">
        <v>0</v>
      </c>
      <c r="AH20">
        <v>15000</v>
      </c>
      <c r="AI20">
        <v>19000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30000</v>
      </c>
      <c r="AS20">
        <v>5000</v>
      </c>
      <c r="AT20">
        <v>0</v>
      </c>
      <c r="AU20">
        <v>0</v>
      </c>
      <c r="AV20">
        <v>20000</v>
      </c>
      <c r="AW20">
        <v>0</v>
      </c>
      <c r="AX20">
        <v>0</v>
      </c>
      <c r="AY20">
        <v>0</v>
      </c>
      <c r="AZ20">
        <v>19000</v>
      </c>
      <c r="BA20">
        <v>0</v>
      </c>
      <c r="BB20">
        <v>7200</v>
      </c>
      <c r="BC20">
        <v>15000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15000</v>
      </c>
      <c r="BJ20">
        <v>0</v>
      </c>
      <c r="BK20">
        <v>30000</v>
      </c>
      <c r="BL20">
        <v>0</v>
      </c>
      <c r="BM20">
        <v>0</v>
      </c>
      <c r="BN20">
        <v>0</v>
      </c>
      <c r="BO20">
        <v>30000</v>
      </c>
      <c r="BP20">
        <v>0</v>
      </c>
      <c r="BQ20">
        <v>0</v>
      </c>
      <c r="BR20">
        <v>7200</v>
      </c>
      <c r="BS20">
        <v>0</v>
      </c>
      <c r="BT20">
        <v>0</v>
      </c>
      <c r="BU20">
        <v>15000</v>
      </c>
      <c r="BV20">
        <v>0</v>
      </c>
      <c r="BW20">
        <v>0</v>
      </c>
      <c r="BX20">
        <v>0</v>
      </c>
      <c r="BY20">
        <v>7200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15000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7200</v>
      </c>
      <c r="CR20">
        <v>0</v>
      </c>
      <c r="CS20">
        <v>0</v>
      </c>
      <c r="CT20">
        <v>0</v>
      </c>
      <c r="CU20">
        <v>0</v>
      </c>
      <c r="CV20">
        <v>7200</v>
      </c>
      <c r="CW20">
        <v>0</v>
      </c>
    </row>
    <row r="21" spans="1:101" x14ac:dyDescent="0.3">
      <c r="A21">
        <v>19</v>
      </c>
      <c r="B21">
        <v>0</v>
      </c>
      <c r="C21">
        <v>60000</v>
      </c>
      <c r="D21">
        <v>7200</v>
      </c>
      <c r="E21">
        <v>15000</v>
      </c>
      <c r="F21">
        <v>0</v>
      </c>
      <c r="G21">
        <v>0</v>
      </c>
      <c r="H21">
        <v>60000</v>
      </c>
      <c r="I21">
        <v>7200</v>
      </c>
      <c r="J21">
        <v>60000</v>
      </c>
      <c r="K21">
        <v>0</v>
      </c>
      <c r="L21">
        <v>0</v>
      </c>
      <c r="M21">
        <v>0</v>
      </c>
      <c r="N21">
        <v>0</v>
      </c>
      <c r="O21">
        <v>15000</v>
      </c>
      <c r="P21">
        <v>0</v>
      </c>
      <c r="Q21">
        <v>30000</v>
      </c>
      <c r="R21">
        <v>0</v>
      </c>
      <c r="S21">
        <v>0</v>
      </c>
      <c r="T21">
        <v>0</v>
      </c>
      <c r="U21">
        <v>7200</v>
      </c>
      <c r="V21">
        <v>5000</v>
      </c>
      <c r="W21">
        <v>60000</v>
      </c>
      <c r="X21">
        <v>15000</v>
      </c>
      <c r="Y21">
        <v>0</v>
      </c>
      <c r="Z21">
        <v>0</v>
      </c>
      <c r="AA21">
        <v>19000</v>
      </c>
      <c r="AB21">
        <v>0</v>
      </c>
      <c r="AC21">
        <v>0</v>
      </c>
      <c r="AD21">
        <v>30000</v>
      </c>
      <c r="AE21">
        <v>0</v>
      </c>
      <c r="AF21">
        <v>15000</v>
      </c>
      <c r="AG21">
        <v>0</v>
      </c>
      <c r="AH21">
        <v>15000</v>
      </c>
      <c r="AI21">
        <v>25000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5000</v>
      </c>
      <c r="AT21">
        <v>60000</v>
      </c>
      <c r="AU21">
        <v>0</v>
      </c>
      <c r="AV21">
        <v>20000</v>
      </c>
      <c r="AW21">
        <v>0</v>
      </c>
      <c r="AX21">
        <v>0</v>
      </c>
      <c r="AY21">
        <v>30000</v>
      </c>
      <c r="AZ21">
        <v>19000</v>
      </c>
      <c r="BA21">
        <v>0</v>
      </c>
      <c r="BB21">
        <v>7200</v>
      </c>
      <c r="BC21">
        <v>15000</v>
      </c>
      <c r="BD21">
        <v>60000</v>
      </c>
      <c r="BE21">
        <v>0</v>
      </c>
      <c r="BF21">
        <v>0</v>
      </c>
      <c r="BG21">
        <v>0</v>
      </c>
      <c r="BH21">
        <v>60000</v>
      </c>
      <c r="BI21">
        <v>15000</v>
      </c>
      <c r="BJ21">
        <v>0</v>
      </c>
      <c r="BK21">
        <v>0</v>
      </c>
      <c r="BL21">
        <v>60000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7200</v>
      </c>
      <c r="BS21">
        <v>30000</v>
      </c>
      <c r="BT21">
        <v>0</v>
      </c>
      <c r="BU21">
        <v>15000</v>
      </c>
      <c r="BV21">
        <v>60000</v>
      </c>
      <c r="BW21">
        <v>0</v>
      </c>
      <c r="BX21">
        <v>0</v>
      </c>
      <c r="BY21">
        <v>7200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15000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7200</v>
      </c>
      <c r="CR21">
        <v>0</v>
      </c>
      <c r="CS21">
        <v>0</v>
      </c>
      <c r="CT21">
        <v>0</v>
      </c>
      <c r="CU21">
        <v>7200</v>
      </c>
      <c r="CV21">
        <v>7200</v>
      </c>
      <c r="CW21">
        <v>0</v>
      </c>
    </row>
    <row r="22" spans="1:101" x14ac:dyDescent="0.3">
      <c r="A22">
        <v>20</v>
      </c>
      <c r="B22">
        <v>0</v>
      </c>
      <c r="C22">
        <v>61000</v>
      </c>
      <c r="D22">
        <v>7200</v>
      </c>
      <c r="E22">
        <v>15000</v>
      </c>
      <c r="F22">
        <v>0</v>
      </c>
      <c r="G22">
        <v>0</v>
      </c>
      <c r="H22">
        <v>61000</v>
      </c>
      <c r="I22">
        <v>7200</v>
      </c>
      <c r="J22">
        <v>61000</v>
      </c>
      <c r="K22">
        <v>0</v>
      </c>
      <c r="L22">
        <v>0</v>
      </c>
      <c r="M22">
        <v>0</v>
      </c>
      <c r="N22">
        <v>0</v>
      </c>
      <c r="O22">
        <v>15000</v>
      </c>
      <c r="P22">
        <v>0</v>
      </c>
      <c r="Q22">
        <v>0</v>
      </c>
      <c r="R22">
        <v>19000</v>
      </c>
      <c r="S22">
        <v>0</v>
      </c>
      <c r="T22">
        <v>0</v>
      </c>
      <c r="U22">
        <v>7200</v>
      </c>
      <c r="V22">
        <v>5000</v>
      </c>
      <c r="W22">
        <v>61000</v>
      </c>
      <c r="X22">
        <v>15000</v>
      </c>
      <c r="Y22">
        <v>0</v>
      </c>
      <c r="Z22">
        <v>30000</v>
      </c>
      <c r="AA22">
        <v>19000</v>
      </c>
      <c r="AB22">
        <v>0</v>
      </c>
      <c r="AC22">
        <v>0</v>
      </c>
      <c r="AD22">
        <v>0</v>
      </c>
      <c r="AE22">
        <v>0</v>
      </c>
      <c r="AF22">
        <v>15000</v>
      </c>
      <c r="AG22">
        <v>0</v>
      </c>
      <c r="AH22">
        <v>15000</v>
      </c>
      <c r="AI22">
        <v>25000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30000</v>
      </c>
      <c r="AS22">
        <v>5000</v>
      </c>
      <c r="AT22">
        <v>61000</v>
      </c>
      <c r="AU22">
        <v>0</v>
      </c>
      <c r="AV22">
        <v>20000</v>
      </c>
      <c r="AW22">
        <v>0</v>
      </c>
      <c r="AX22">
        <v>0</v>
      </c>
      <c r="AY22">
        <v>0</v>
      </c>
      <c r="AZ22">
        <v>19000</v>
      </c>
      <c r="BA22">
        <v>0</v>
      </c>
      <c r="BB22">
        <v>7200</v>
      </c>
      <c r="BC22">
        <v>15000</v>
      </c>
      <c r="BD22">
        <v>61000</v>
      </c>
      <c r="BE22">
        <v>0</v>
      </c>
      <c r="BF22">
        <v>0</v>
      </c>
      <c r="BG22">
        <v>0</v>
      </c>
      <c r="BH22">
        <v>61000</v>
      </c>
      <c r="BI22">
        <v>15000</v>
      </c>
      <c r="BJ22">
        <v>0</v>
      </c>
      <c r="BK22">
        <v>30000</v>
      </c>
      <c r="BL22">
        <v>61000</v>
      </c>
      <c r="BM22">
        <v>0</v>
      </c>
      <c r="BN22">
        <v>0</v>
      </c>
      <c r="BO22">
        <v>30000</v>
      </c>
      <c r="BP22">
        <v>0</v>
      </c>
      <c r="BQ22">
        <v>0</v>
      </c>
      <c r="BR22">
        <v>7200</v>
      </c>
      <c r="BS22">
        <v>0</v>
      </c>
      <c r="BT22">
        <v>0</v>
      </c>
      <c r="BU22">
        <v>15000</v>
      </c>
      <c r="BV22">
        <v>61000</v>
      </c>
      <c r="BW22">
        <v>0</v>
      </c>
      <c r="BX22">
        <v>0</v>
      </c>
      <c r="BY22">
        <v>7200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30000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7200</v>
      </c>
      <c r="CR22">
        <v>0</v>
      </c>
      <c r="CS22">
        <v>0</v>
      </c>
      <c r="CT22">
        <v>0</v>
      </c>
      <c r="CU22">
        <v>7200</v>
      </c>
      <c r="CV22">
        <v>7200</v>
      </c>
      <c r="CW22">
        <v>0</v>
      </c>
    </row>
    <row r="23" spans="1:101" x14ac:dyDescent="0.3">
      <c r="A23">
        <v>21</v>
      </c>
      <c r="B23">
        <v>0</v>
      </c>
      <c r="C23">
        <v>62000</v>
      </c>
      <c r="D23">
        <v>7200</v>
      </c>
      <c r="E23">
        <v>15000</v>
      </c>
      <c r="F23">
        <v>0</v>
      </c>
      <c r="G23">
        <v>0</v>
      </c>
      <c r="H23">
        <v>62000</v>
      </c>
      <c r="I23">
        <v>7200</v>
      </c>
      <c r="J23">
        <v>62000</v>
      </c>
      <c r="K23">
        <v>0</v>
      </c>
      <c r="L23">
        <v>0</v>
      </c>
      <c r="M23">
        <v>0</v>
      </c>
      <c r="N23">
        <v>0</v>
      </c>
      <c r="O23">
        <v>15000</v>
      </c>
      <c r="P23">
        <v>0</v>
      </c>
      <c r="Q23">
        <v>30000</v>
      </c>
      <c r="R23">
        <v>19000</v>
      </c>
      <c r="S23">
        <v>0</v>
      </c>
      <c r="T23">
        <v>0</v>
      </c>
      <c r="U23">
        <v>7200</v>
      </c>
      <c r="V23">
        <v>5000</v>
      </c>
      <c r="W23">
        <v>62000</v>
      </c>
      <c r="X23">
        <v>15000</v>
      </c>
      <c r="Y23">
        <v>0</v>
      </c>
      <c r="Z23">
        <v>0</v>
      </c>
      <c r="AA23">
        <v>19000</v>
      </c>
      <c r="AB23">
        <v>0</v>
      </c>
      <c r="AC23">
        <v>0</v>
      </c>
      <c r="AD23">
        <v>0</v>
      </c>
      <c r="AE23">
        <v>0</v>
      </c>
      <c r="AF23">
        <v>15000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5000</v>
      </c>
      <c r="AT23">
        <v>62000</v>
      </c>
      <c r="AU23">
        <v>0</v>
      </c>
      <c r="AV23">
        <v>0</v>
      </c>
      <c r="AW23">
        <v>0</v>
      </c>
      <c r="AX23">
        <v>0</v>
      </c>
      <c r="AY23">
        <v>30000</v>
      </c>
      <c r="AZ23">
        <v>19000</v>
      </c>
      <c r="BA23">
        <v>0</v>
      </c>
      <c r="BB23">
        <v>7200</v>
      </c>
      <c r="BC23">
        <v>15000</v>
      </c>
      <c r="BD23">
        <v>62000</v>
      </c>
      <c r="BE23">
        <v>0</v>
      </c>
      <c r="BF23">
        <v>0</v>
      </c>
      <c r="BG23">
        <v>0</v>
      </c>
      <c r="BH23">
        <v>62000</v>
      </c>
      <c r="BI23">
        <v>15000</v>
      </c>
      <c r="BJ23">
        <v>0</v>
      </c>
      <c r="BK23">
        <v>0</v>
      </c>
      <c r="BL23">
        <v>62000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7200</v>
      </c>
      <c r="BS23">
        <v>30000</v>
      </c>
      <c r="BT23">
        <v>0</v>
      </c>
      <c r="BU23">
        <v>15000</v>
      </c>
      <c r="BV23">
        <v>62000</v>
      </c>
      <c r="BW23">
        <v>0</v>
      </c>
      <c r="BX23">
        <v>0</v>
      </c>
      <c r="BY23">
        <v>7200</v>
      </c>
      <c r="BZ23">
        <v>0</v>
      </c>
      <c r="CA23">
        <v>7200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7200</v>
      </c>
      <c r="CR23">
        <v>0</v>
      </c>
      <c r="CS23">
        <v>0</v>
      </c>
      <c r="CT23">
        <v>0</v>
      </c>
      <c r="CU23">
        <v>7200</v>
      </c>
      <c r="CV23">
        <v>7200</v>
      </c>
      <c r="CW23">
        <v>0</v>
      </c>
    </row>
    <row r="24" spans="1:101" x14ac:dyDescent="0.3">
      <c r="A24">
        <v>22</v>
      </c>
      <c r="B24">
        <v>0</v>
      </c>
      <c r="C24">
        <v>63000</v>
      </c>
      <c r="D24">
        <v>7200</v>
      </c>
      <c r="E24">
        <v>15000</v>
      </c>
      <c r="F24">
        <v>0</v>
      </c>
      <c r="G24">
        <v>0</v>
      </c>
      <c r="H24">
        <v>63000</v>
      </c>
      <c r="I24">
        <v>7200</v>
      </c>
      <c r="J24">
        <v>63000</v>
      </c>
      <c r="K24">
        <v>19000</v>
      </c>
      <c r="L24">
        <v>0</v>
      </c>
      <c r="M24">
        <v>0</v>
      </c>
      <c r="N24">
        <v>0</v>
      </c>
      <c r="O24">
        <v>15000</v>
      </c>
      <c r="P24">
        <v>0</v>
      </c>
      <c r="Q24">
        <v>0</v>
      </c>
      <c r="R24">
        <v>19000</v>
      </c>
      <c r="S24">
        <v>0</v>
      </c>
      <c r="T24">
        <v>0</v>
      </c>
      <c r="U24">
        <v>7200</v>
      </c>
      <c r="V24">
        <v>5000</v>
      </c>
      <c r="W24">
        <v>63000</v>
      </c>
      <c r="X24">
        <v>0</v>
      </c>
      <c r="Y24">
        <v>0</v>
      </c>
      <c r="Z24">
        <v>30000</v>
      </c>
      <c r="AA24">
        <v>19000</v>
      </c>
      <c r="AB24">
        <v>0</v>
      </c>
      <c r="AC24">
        <v>0</v>
      </c>
      <c r="AD24">
        <v>0</v>
      </c>
      <c r="AE24">
        <v>0</v>
      </c>
      <c r="AF24">
        <v>15000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30000</v>
      </c>
      <c r="AS24">
        <v>5000</v>
      </c>
      <c r="AT24">
        <v>63000</v>
      </c>
      <c r="AU24">
        <v>30000</v>
      </c>
      <c r="AV24">
        <v>0</v>
      </c>
      <c r="AW24">
        <v>0</v>
      </c>
      <c r="AX24">
        <v>0</v>
      </c>
      <c r="AY24">
        <v>0</v>
      </c>
      <c r="AZ24">
        <v>19000</v>
      </c>
      <c r="BA24">
        <v>0</v>
      </c>
      <c r="BB24">
        <v>7200</v>
      </c>
      <c r="BC24">
        <v>15000</v>
      </c>
      <c r="BD24">
        <v>63000</v>
      </c>
      <c r="BE24">
        <v>0</v>
      </c>
      <c r="BF24">
        <v>0</v>
      </c>
      <c r="BG24">
        <v>0</v>
      </c>
      <c r="BH24">
        <v>63000</v>
      </c>
      <c r="BI24">
        <v>0</v>
      </c>
      <c r="BJ24">
        <v>15000</v>
      </c>
      <c r="BK24">
        <v>30000</v>
      </c>
      <c r="BL24">
        <v>63000</v>
      </c>
      <c r="BM24">
        <v>0</v>
      </c>
      <c r="BN24">
        <v>0</v>
      </c>
      <c r="BO24">
        <v>30000</v>
      </c>
      <c r="BP24">
        <v>0</v>
      </c>
      <c r="BQ24">
        <v>0</v>
      </c>
      <c r="BR24">
        <v>7200</v>
      </c>
      <c r="BS24">
        <v>0</v>
      </c>
      <c r="BT24">
        <v>0</v>
      </c>
      <c r="BU24">
        <v>15000</v>
      </c>
      <c r="BV24">
        <v>63000</v>
      </c>
      <c r="BW24">
        <v>0</v>
      </c>
      <c r="BX24">
        <v>0</v>
      </c>
      <c r="BY24">
        <v>7200</v>
      </c>
      <c r="BZ24">
        <v>0</v>
      </c>
      <c r="CA24">
        <v>7200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30000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7200</v>
      </c>
      <c r="CR24">
        <v>0</v>
      </c>
      <c r="CS24">
        <v>0</v>
      </c>
      <c r="CT24">
        <v>0</v>
      </c>
      <c r="CU24">
        <v>7200</v>
      </c>
      <c r="CV24">
        <v>7200</v>
      </c>
      <c r="CW24">
        <v>0</v>
      </c>
    </row>
    <row r="25" spans="1:101" x14ac:dyDescent="0.3">
      <c r="A25">
        <v>23</v>
      </c>
      <c r="B25">
        <v>0</v>
      </c>
      <c r="C25">
        <v>64000</v>
      </c>
      <c r="D25">
        <v>7200</v>
      </c>
      <c r="E25">
        <v>15000</v>
      </c>
      <c r="F25">
        <v>0</v>
      </c>
      <c r="G25">
        <v>0</v>
      </c>
      <c r="H25">
        <v>64000</v>
      </c>
      <c r="I25">
        <v>7200</v>
      </c>
      <c r="J25">
        <v>64000</v>
      </c>
      <c r="K25">
        <v>19000</v>
      </c>
      <c r="L25">
        <v>30000</v>
      </c>
      <c r="M25">
        <v>0</v>
      </c>
      <c r="N25">
        <v>0</v>
      </c>
      <c r="O25">
        <v>15000</v>
      </c>
      <c r="P25">
        <v>0</v>
      </c>
      <c r="Q25">
        <v>30000</v>
      </c>
      <c r="R25">
        <v>19000</v>
      </c>
      <c r="S25">
        <v>0</v>
      </c>
      <c r="T25">
        <v>0</v>
      </c>
      <c r="U25">
        <v>7200</v>
      </c>
      <c r="V25">
        <v>5000</v>
      </c>
      <c r="W25">
        <v>64000</v>
      </c>
      <c r="X25">
        <v>0</v>
      </c>
      <c r="Y25">
        <v>0</v>
      </c>
      <c r="Z25">
        <v>0</v>
      </c>
      <c r="AA25">
        <v>19000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5000</v>
      </c>
      <c r="AT25">
        <v>64000</v>
      </c>
      <c r="AU25">
        <v>0</v>
      </c>
      <c r="AV25">
        <v>0</v>
      </c>
      <c r="AW25">
        <v>0</v>
      </c>
      <c r="AX25">
        <v>0</v>
      </c>
      <c r="AY25">
        <v>30000</v>
      </c>
      <c r="AZ25">
        <v>25000</v>
      </c>
      <c r="BA25">
        <v>0</v>
      </c>
      <c r="BB25">
        <v>7200</v>
      </c>
      <c r="BC25">
        <v>15000</v>
      </c>
      <c r="BD25">
        <v>64000</v>
      </c>
      <c r="BE25">
        <v>0</v>
      </c>
      <c r="BF25">
        <v>0</v>
      </c>
      <c r="BG25">
        <v>7200</v>
      </c>
      <c r="BH25">
        <v>64000</v>
      </c>
      <c r="BI25">
        <v>0</v>
      </c>
      <c r="BJ25">
        <v>15000</v>
      </c>
      <c r="BK25">
        <v>0</v>
      </c>
      <c r="BL25">
        <v>64000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7200</v>
      </c>
      <c r="BS25">
        <v>30000</v>
      </c>
      <c r="BT25">
        <v>0</v>
      </c>
      <c r="BU25">
        <v>15000</v>
      </c>
      <c r="BV25">
        <v>64000</v>
      </c>
      <c r="BW25">
        <v>0</v>
      </c>
      <c r="BX25">
        <v>7200</v>
      </c>
      <c r="BY25">
        <v>7200</v>
      </c>
      <c r="BZ25">
        <v>15000</v>
      </c>
      <c r="CA25">
        <v>7200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7200</v>
      </c>
      <c r="CR25">
        <v>0</v>
      </c>
      <c r="CS25">
        <v>0</v>
      </c>
      <c r="CT25">
        <v>0</v>
      </c>
      <c r="CU25">
        <v>7200</v>
      </c>
      <c r="CV25">
        <v>7200</v>
      </c>
      <c r="CW25">
        <v>0</v>
      </c>
    </row>
    <row r="26" spans="1:101" x14ac:dyDescent="0.3">
      <c r="A26">
        <v>24</v>
      </c>
      <c r="B26">
        <v>0</v>
      </c>
      <c r="C26">
        <v>65000</v>
      </c>
      <c r="D26">
        <v>7200</v>
      </c>
      <c r="E26">
        <v>15000</v>
      </c>
      <c r="F26">
        <v>25000</v>
      </c>
      <c r="G26">
        <v>25000</v>
      </c>
      <c r="H26">
        <v>65000</v>
      </c>
      <c r="I26">
        <v>7200</v>
      </c>
      <c r="J26">
        <v>65000</v>
      </c>
      <c r="K26">
        <v>19000</v>
      </c>
      <c r="L26">
        <v>0</v>
      </c>
      <c r="M26">
        <v>0</v>
      </c>
      <c r="N26">
        <v>0</v>
      </c>
      <c r="O26">
        <v>15000</v>
      </c>
      <c r="P26">
        <v>0</v>
      </c>
      <c r="Q26">
        <v>0</v>
      </c>
      <c r="R26">
        <v>19000</v>
      </c>
      <c r="S26">
        <v>25000</v>
      </c>
      <c r="T26">
        <v>25000</v>
      </c>
      <c r="U26">
        <v>7200</v>
      </c>
      <c r="V26">
        <v>5000</v>
      </c>
      <c r="W26">
        <v>65000</v>
      </c>
      <c r="X26">
        <v>0</v>
      </c>
      <c r="Y26">
        <v>0</v>
      </c>
      <c r="Z26">
        <v>30000</v>
      </c>
      <c r="AA26">
        <v>19000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25000</v>
      </c>
      <c r="AM26">
        <v>25000</v>
      </c>
      <c r="AN26">
        <v>0</v>
      </c>
      <c r="AO26">
        <v>0</v>
      </c>
      <c r="AP26">
        <v>25000</v>
      </c>
      <c r="AQ26">
        <v>25000</v>
      </c>
      <c r="AR26">
        <v>0</v>
      </c>
      <c r="AS26">
        <v>5000</v>
      </c>
      <c r="AT26">
        <v>65000</v>
      </c>
      <c r="AU26">
        <v>30000</v>
      </c>
      <c r="AV26">
        <v>0</v>
      </c>
      <c r="AW26">
        <v>25000</v>
      </c>
      <c r="AX26">
        <v>0</v>
      </c>
      <c r="AY26">
        <v>0</v>
      </c>
      <c r="AZ26">
        <v>25000</v>
      </c>
      <c r="BA26">
        <v>0</v>
      </c>
      <c r="BB26">
        <v>7200</v>
      </c>
      <c r="BC26">
        <v>15000</v>
      </c>
      <c r="BD26">
        <v>65000</v>
      </c>
      <c r="BE26">
        <v>25000</v>
      </c>
      <c r="BF26">
        <v>0</v>
      </c>
      <c r="BG26">
        <v>7200</v>
      </c>
      <c r="BH26">
        <v>65000</v>
      </c>
      <c r="BI26">
        <v>0</v>
      </c>
      <c r="BJ26">
        <v>15000</v>
      </c>
      <c r="BK26">
        <v>30000</v>
      </c>
      <c r="BL26">
        <v>65000</v>
      </c>
      <c r="BM26">
        <v>25000</v>
      </c>
      <c r="BN26">
        <v>0</v>
      </c>
      <c r="BO26">
        <v>0</v>
      </c>
      <c r="BP26">
        <v>25000</v>
      </c>
      <c r="BQ26">
        <v>25000</v>
      </c>
      <c r="BR26">
        <v>7200</v>
      </c>
      <c r="BS26">
        <v>0</v>
      </c>
      <c r="BT26">
        <v>0</v>
      </c>
      <c r="BU26">
        <v>15000</v>
      </c>
      <c r="BV26">
        <v>65000</v>
      </c>
      <c r="BW26">
        <v>0</v>
      </c>
      <c r="BX26">
        <v>7200</v>
      </c>
      <c r="BY26">
        <v>7200</v>
      </c>
      <c r="BZ26">
        <v>15000</v>
      </c>
      <c r="CA26">
        <v>7200</v>
      </c>
      <c r="CB26">
        <v>25000</v>
      </c>
      <c r="CC26">
        <v>0</v>
      </c>
      <c r="CD26">
        <v>0</v>
      </c>
      <c r="CE26">
        <v>0</v>
      </c>
      <c r="CF26">
        <v>0</v>
      </c>
      <c r="CG26">
        <v>25000</v>
      </c>
      <c r="CH26">
        <v>0</v>
      </c>
      <c r="CI26">
        <v>0</v>
      </c>
      <c r="CJ26">
        <v>30000</v>
      </c>
      <c r="CK26">
        <v>0</v>
      </c>
      <c r="CL26">
        <v>25000</v>
      </c>
      <c r="CM26">
        <v>25000</v>
      </c>
      <c r="CN26">
        <v>0</v>
      </c>
      <c r="CO26">
        <v>0</v>
      </c>
      <c r="CP26">
        <v>0</v>
      </c>
      <c r="CQ26">
        <v>7200</v>
      </c>
      <c r="CR26">
        <v>7200</v>
      </c>
      <c r="CS26">
        <v>0</v>
      </c>
      <c r="CT26">
        <v>0</v>
      </c>
      <c r="CU26">
        <v>7200</v>
      </c>
      <c r="CV26">
        <v>7200</v>
      </c>
      <c r="CW26">
        <v>0</v>
      </c>
    </row>
    <row r="27" spans="1:101" x14ac:dyDescent="0.3">
      <c r="A27">
        <v>25</v>
      </c>
      <c r="B27">
        <v>0</v>
      </c>
      <c r="C27">
        <v>66000</v>
      </c>
      <c r="D27">
        <v>7200</v>
      </c>
      <c r="E27">
        <v>0</v>
      </c>
      <c r="F27">
        <v>26000</v>
      </c>
      <c r="G27">
        <v>26000</v>
      </c>
      <c r="H27">
        <v>66000</v>
      </c>
      <c r="I27">
        <v>7200</v>
      </c>
      <c r="J27">
        <v>66000</v>
      </c>
      <c r="K27">
        <v>19000</v>
      </c>
      <c r="L27">
        <v>30000</v>
      </c>
      <c r="M27">
        <v>0</v>
      </c>
      <c r="N27">
        <v>0</v>
      </c>
      <c r="O27">
        <v>15000</v>
      </c>
      <c r="P27">
        <v>0</v>
      </c>
      <c r="Q27">
        <v>30000</v>
      </c>
      <c r="R27">
        <v>19000</v>
      </c>
      <c r="S27">
        <v>26000</v>
      </c>
      <c r="T27">
        <v>26000</v>
      </c>
      <c r="U27">
        <v>7200</v>
      </c>
      <c r="V27">
        <v>5000</v>
      </c>
      <c r="W27">
        <v>66000</v>
      </c>
      <c r="X27">
        <v>0</v>
      </c>
      <c r="Y27">
        <v>0</v>
      </c>
      <c r="Z27">
        <v>0</v>
      </c>
      <c r="AA27">
        <v>19000</v>
      </c>
      <c r="AB27">
        <v>15000</v>
      </c>
      <c r="AC27">
        <v>0</v>
      </c>
      <c r="AD27">
        <v>0</v>
      </c>
      <c r="AE27">
        <v>15000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26000</v>
      </c>
      <c r="AM27">
        <v>26000</v>
      </c>
      <c r="AN27">
        <v>0</v>
      </c>
      <c r="AO27">
        <v>0</v>
      </c>
      <c r="AP27">
        <v>26000</v>
      </c>
      <c r="AQ27">
        <v>26000</v>
      </c>
      <c r="AR27">
        <v>0</v>
      </c>
      <c r="AS27">
        <v>5000</v>
      </c>
      <c r="AT27">
        <v>66000</v>
      </c>
      <c r="AU27">
        <v>0</v>
      </c>
      <c r="AV27">
        <v>0</v>
      </c>
      <c r="AW27">
        <v>26000</v>
      </c>
      <c r="AX27">
        <v>0</v>
      </c>
      <c r="AY27">
        <v>30000</v>
      </c>
      <c r="AZ27">
        <v>25000</v>
      </c>
      <c r="BA27">
        <v>0</v>
      </c>
      <c r="BB27">
        <v>7200</v>
      </c>
      <c r="BC27">
        <v>15000</v>
      </c>
      <c r="BD27">
        <v>66000</v>
      </c>
      <c r="BE27">
        <v>26000</v>
      </c>
      <c r="BF27">
        <v>0</v>
      </c>
      <c r="BG27">
        <v>7200</v>
      </c>
      <c r="BH27">
        <v>66000</v>
      </c>
      <c r="BI27">
        <v>0</v>
      </c>
      <c r="BJ27">
        <v>15000</v>
      </c>
      <c r="BK27">
        <v>0</v>
      </c>
      <c r="BL27">
        <v>66000</v>
      </c>
      <c r="BM27">
        <v>26000</v>
      </c>
      <c r="BN27">
        <v>15000</v>
      </c>
      <c r="BO27">
        <v>0</v>
      </c>
      <c r="BP27">
        <v>26000</v>
      </c>
      <c r="BQ27">
        <v>26000</v>
      </c>
      <c r="BR27">
        <v>7200</v>
      </c>
      <c r="BS27">
        <v>0</v>
      </c>
      <c r="BT27">
        <v>0</v>
      </c>
      <c r="BU27">
        <v>15000</v>
      </c>
      <c r="BV27">
        <v>66000</v>
      </c>
      <c r="BW27">
        <v>0</v>
      </c>
      <c r="BX27">
        <v>7200</v>
      </c>
      <c r="BY27">
        <v>7200</v>
      </c>
      <c r="BZ27">
        <v>15000</v>
      </c>
      <c r="CA27">
        <v>7200</v>
      </c>
      <c r="CB27">
        <v>26000</v>
      </c>
      <c r="CC27">
        <v>7200</v>
      </c>
      <c r="CD27">
        <v>0</v>
      </c>
      <c r="CE27">
        <v>0</v>
      </c>
      <c r="CF27">
        <v>0</v>
      </c>
      <c r="CG27">
        <v>26000</v>
      </c>
      <c r="CH27">
        <v>0</v>
      </c>
      <c r="CI27">
        <v>0</v>
      </c>
      <c r="CJ27">
        <v>0</v>
      </c>
      <c r="CK27">
        <v>0</v>
      </c>
      <c r="CL27">
        <v>26000</v>
      </c>
      <c r="CM27">
        <v>26000</v>
      </c>
      <c r="CN27">
        <v>7200</v>
      </c>
      <c r="CO27">
        <v>0</v>
      </c>
      <c r="CP27">
        <v>0</v>
      </c>
      <c r="CQ27">
        <v>7200</v>
      </c>
      <c r="CR27">
        <v>7200</v>
      </c>
      <c r="CS27">
        <v>0</v>
      </c>
      <c r="CT27">
        <v>0</v>
      </c>
      <c r="CU27">
        <v>7200</v>
      </c>
      <c r="CV27">
        <v>7200</v>
      </c>
      <c r="CW27">
        <v>0</v>
      </c>
    </row>
    <row r="28" spans="1:101" x14ac:dyDescent="0.3">
      <c r="A28">
        <v>26</v>
      </c>
      <c r="B28">
        <v>19000</v>
      </c>
      <c r="C28">
        <v>67000</v>
      </c>
      <c r="D28">
        <v>7200</v>
      </c>
      <c r="E28">
        <v>0</v>
      </c>
      <c r="F28">
        <v>27000</v>
      </c>
      <c r="G28">
        <v>27000</v>
      </c>
      <c r="H28">
        <v>67000</v>
      </c>
      <c r="I28">
        <v>7200</v>
      </c>
      <c r="J28">
        <v>67000</v>
      </c>
      <c r="K28">
        <v>19000</v>
      </c>
      <c r="L28">
        <v>0</v>
      </c>
      <c r="M28">
        <v>0</v>
      </c>
      <c r="N28">
        <v>0</v>
      </c>
      <c r="O28">
        <v>15000</v>
      </c>
      <c r="P28">
        <v>14285.714285714286</v>
      </c>
      <c r="Q28">
        <v>0</v>
      </c>
      <c r="R28">
        <v>19000</v>
      </c>
      <c r="S28">
        <v>27000</v>
      </c>
      <c r="T28">
        <v>27000</v>
      </c>
      <c r="U28">
        <v>7200</v>
      </c>
      <c r="V28">
        <v>5000</v>
      </c>
      <c r="W28">
        <v>67000</v>
      </c>
      <c r="X28">
        <v>0</v>
      </c>
      <c r="Y28">
        <v>0</v>
      </c>
      <c r="Z28">
        <v>0</v>
      </c>
      <c r="AA28">
        <v>19000</v>
      </c>
      <c r="AB28">
        <v>15000</v>
      </c>
      <c r="AC28">
        <v>0</v>
      </c>
      <c r="AD28">
        <v>0</v>
      </c>
      <c r="AE28">
        <v>15000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27000</v>
      </c>
      <c r="AM28">
        <v>27000</v>
      </c>
      <c r="AN28">
        <v>0</v>
      </c>
      <c r="AO28">
        <v>0</v>
      </c>
      <c r="AP28">
        <v>27000</v>
      </c>
      <c r="AQ28">
        <v>27000</v>
      </c>
      <c r="AR28">
        <v>0</v>
      </c>
      <c r="AS28">
        <v>5000</v>
      </c>
      <c r="AT28">
        <v>67000</v>
      </c>
      <c r="AU28">
        <v>30000</v>
      </c>
      <c r="AV28">
        <v>0</v>
      </c>
      <c r="AW28">
        <v>27000</v>
      </c>
      <c r="AX28">
        <v>0</v>
      </c>
      <c r="AY28">
        <v>0</v>
      </c>
      <c r="AZ28">
        <v>25000</v>
      </c>
      <c r="BA28">
        <v>0</v>
      </c>
      <c r="BB28">
        <v>7200</v>
      </c>
      <c r="BC28">
        <v>0</v>
      </c>
      <c r="BD28">
        <v>67000</v>
      </c>
      <c r="BE28">
        <v>27000</v>
      </c>
      <c r="BF28">
        <v>0</v>
      </c>
      <c r="BG28">
        <v>7200</v>
      </c>
      <c r="BH28">
        <v>67000</v>
      </c>
      <c r="BI28">
        <v>0</v>
      </c>
      <c r="BJ28">
        <v>15000</v>
      </c>
      <c r="BK28">
        <v>30000</v>
      </c>
      <c r="BL28">
        <v>67000</v>
      </c>
      <c r="BM28">
        <v>27000</v>
      </c>
      <c r="BN28">
        <v>15000</v>
      </c>
      <c r="BO28">
        <v>0</v>
      </c>
      <c r="BP28">
        <v>27000</v>
      </c>
      <c r="BQ28">
        <v>27000</v>
      </c>
      <c r="BR28">
        <v>7200</v>
      </c>
      <c r="BS28">
        <v>0</v>
      </c>
      <c r="BT28">
        <v>0</v>
      </c>
      <c r="BU28">
        <v>15000</v>
      </c>
      <c r="BV28">
        <v>67000</v>
      </c>
      <c r="BW28">
        <v>0</v>
      </c>
      <c r="BX28">
        <v>7200</v>
      </c>
      <c r="BY28">
        <v>7200</v>
      </c>
      <c r="BZ28">
        <v>15000</v>
      </c>
      <c r="CA28">
        <v>7200</v>
      </c>
      <c r="CB28">
        <v>27000</v>
      </c>
      <c r="CC28">
        <v>7200</v>
      </c>
      <c r="CD28">
        <v>0</v>
      </c>
      <c r="CE28">
        <v>0</v>
      </c>
      <c r="CF28">
        <v>0</v>
      </c>
      <c r="CG28">
        <v>27000</v>
      </c>
      <c r="CH28">
        <v>0</v>
      </c>
      <c r="CI28">
        <v>0</v>
      </c>
      <c r="CJ28">
        <v>30000</v>
      </c>
      <c r="CK28">
        <v>0</v>
      </c>
      <c r="CL28">
        <v>27000</v>
      </c>
      <c r="CM28">
        <v>27000</v>
      </c>
      <c r="CN28">
        <v>7200</v>
      </c>
      <c r="CO28">
        <v>0</v>
      </c>
      <c r="CP28">
        <v>0</v>
      </c>
      <c r="CQ28">
        <v>7200</v>
      </c>
      <c r="CR28">
        <v>7200</v>
      </c>
      <c r="CS28">
        <v>0</v>
      </c>
      <c r="CT28">
        <v>0</v>
      </c>
      <c r="CU28">
        <v>7200</v>
      </c>
      <c r="CV28">
        <v>7200</v>
      </c>
      <c r="CW28">
        <v>0</v>
      </c>
    </row>
    <row r="29" spans="1:101" x14ac:dyDescent="0.3">
      <c r="A29">
        <v>27</v>
      </c>
      <c r="B29">
        <v>19000</v>
      </c>
      <c r="C29">
        <v>68000</v>
      </c>
      <c r="D29">
        <v>7200</v>
      </c>
      <c r="E29">
        <v>0</v>
      </c>
      <c r="F29">
        <v>28000</v>
      </c>
      <c r="G29">
        <v>28000</v>
      </c>
      <c r="H29">
        <v>68000</v>
      </c>
      <c r="I29">
        <v>7200</v>
      </c>
      <c r="J29">
        <v>68000</v>
      </c>
      <c r="K29">
        <v>19000</v>
      </c>
      <c r="L29">
        <v>30000</v>
      </c>
      <c r="M29">
        <v>15000</v>
      </c>
      <c r="N29">
        <v>0</v>
      </c>
      <c r="O29">
        <v>15000</v>
      </c>
      <c r="P29">
        <v>14285.714285714286</v>
      </c>
      <c r="Q29">
        <v>0</v>
      </c>
      <c r="R29">
        <v>19000</v>
      </c>
      <c r="S29">
        <v>28000</v>
      </c>
      <c r="T29">
        <v>28000</v>
      </c>
      <c r="U29">
        <v>7200</v>
      </c>
      <c r="V29">
        <v>5000</v>
      </c>
      <c r="W29">
        <v>68000</v>
      </c>
      <c r="X29">
        <v>0</v>
      </c>
      <c r="Y29">
        <v>0</v>
      </c>
      <c r="Z29">
        <v>0</v>
      </c>
      <c r="AA29">
        <v>19000</v>
      </c>
      <c r="AB29">
        <v>15000</v>
      </c>
      <c r="AC29">
        <v>0</v>
      </c>
      <c r="AD29">
        <v>0</v>
      </c>
      <c r="AE29">
        <v>15000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28000</v>
      </c>
      <c r="AM29">
        <v>28000</v>
      </c>
      <c r="AN29">
        <v>0</v>
      </c>
      <c r="AO29">
        <v>0</v>
      </c>
      <c r="AP29">
        <v>28000</v>
      </c>
      <c r="AQ29">
        <v>28000</v>
      </c>
      <c r="AR29">
        <v>0</v>
      </c>
      <c r="AS29">
        <v>5000</v>
      </c>
      <c r="AT29">
        <v>68000</v>
      </c>
      <c r="AU29">
        <v>0</v>
      </c>
      <c r="AV29">
        <v>0</v>
      </c>
      <c r="AW29">
        <v>28000</v>
      </c>
      <c r="AX29">
        <v>0</v>
      </c>
      <c r="AY29">
        <v>30000</v>
      </c>
      <c r="AZ29">
        <v>25000</v>
      </c>
      <c r="BA29">
        <v>0</v>
      </c>
      <c r="BB29">
        <v>7200</v>
      </c>
      <c r="BC29">
        <v>0</v>
      </c>
      <c r="BD29">
        <v>68000</v>
      </c>
      <c r="BE29">
        <v>28000</v>
      </c>
      <c r="BF29">
        <v>0</v>
      </c>
      <c r="BG29">
        <v>7200</v>
      </c>
      <c r="BH29">
        <v>68000</v>
      </c>
      <c r="BI29">
        <v>0</v>
      </c>
      <c r="BJ29">
        <v>15000</v>
      </c>
      <c r="BK29">
        <v>0</v>
      </c>
      <c r="BL29">
        <v>68000</v>
      </c>
      <c r="BM29">
        <v>28000</v>
      </c>
      <c r="BN29">
        <v>15000</v>
      </c>
      <c r="BO29">
        <v>0</v>
      </c>
      <c r="BP29">
        <v>28000</v>
      </c>
      <c r="BQ29">
        <v>28000</v>
      </c>
      <c r="BR29">
        <v>7200</v>
      </c>
      <c r="BS29">
        <v>0</v>
      </c>
      <c r="BT29">
        <v>0</v>
      </c>
      <c r="BU29">
        <v>15000</v>
      </c>
      <c r="BV29">
        <v>68000</v>
      </c>
      <c r="BW29">
        <v>0</v>
      </c>
      <c r="BX29">
        <v>7200</v>
      </c>
      <c r="BY29">
        <v>7200</v>
      </c>
      <c r="BZ29">
        <v>15000</v>
      </c>
      <c r="CA29">
        <v>7200</v>
      </c>
      <c r="CB29">
        <v>28000</v>
      </c>
      <c r="CC29">
        <v>7200</v>
      </c>
      <c r="CD29">
        <v>30000</v>
      </c>
      <c r="CE29">
        <v>0</v>
      </c>
      <c r="CF29">
        <v>0</v>
      </c>
      <c r="CG29">
        <v>28000</v>
      </c>
      <c r="CH29">
        <v>0</v>
      </c>
      <c r="CI29">
        <v>0</v>
      </c>
      <c r="CJ29">
        <v>0</v>
      </c>
      <c r="CK29">
        <v>0</v>
      </c>
      <c r="CL29">
        <v>28000</v>
      </c>
      <c r="CM29">
        <v>28000</v>
      </c>
      <c r="CN29">
        <v>7200</v>
      </c>
      <c r="CO29">
        <v>0</v>
      </c>
      <c r="CP29">
        <v>0</v>
      </c>
      <c r="CQ29">
        <v>7200</v>
      </c>
      <c r="CR29">
        <v>7200</v>
      </c>
      <c r="CS29">
        <v>0</v>
      </c>
      <c r="CT29">
        <v>0</v>
      </c>
      <c r="CU29">
        <v>7200</v>
      </c>
      <c r="CV29">
        <v>7200</v>
      </c>
      <c r="CW29">
        <v>0</v>
      </c>
    </row>
    <row r="30" spans="1:101" x14ac:dyDescent="0.3">
      <c r="A30">
        <v>28</v>
      </c>
      <c r="B30">
        <v>19000</v>
      </c>
      <c r="C30">
        <v>69000</v>
      </c>
      <c r="D30">
        <v>7200</v>
      </c>
      <c r="E30">
        <v>0</v>
      </c>
      <c r="F30">
        <v>29000</v>
      </c>
      <c r="G30">
        <v>29000</v>
      </c>
      <c r="H30">
        <v>69000</v>
      </c>
      <c r="I30">
        <v>7200</v>
      </c>
      <c r="J30">
        <v>69000</v>
      </c>
      <c r="K30">
        <v>19000</v>
      </c>
      <c r="L30">
        <v>0</v>
      </c>
      <c r="M30">
        <v>15000</v>
      </c>
      <c r="N30">
        <v>0</v>
      </c>
      <c r="O30">
        <v>15000</v>
      </c>
      <c r="P30">
        <v>14285.714285714286</v>
      </c>
      <c r="Q30">
        <v>0</v>
      </c>
      <c r="R30">
        <v>19000</v>
      </c>
      <c r="S30">
        <v>29000</v>
      </c>
      <c r="T30">
        <v>29000</v>
      </c>
      <c r="U30">
        <v>7200</v>
      </c>
      <c r="V30">
        <v>5000</v>
      </c>
      <c r="W30">
        <v>69000</v>
      </c>
      <c r="X30">
        <v>0</v>
      </c>
      <c r="Y30">
        <v>0</v>
      </c>
      <c r="Z30">
        <v>0</v>
      </c>
      <c r="AA30">
        <v>19000</v>
      </c>
      <c r="AB30">
        <v>15000</v>
      </c>
      <c r="AC30">
        <v>0</v>
      </c>
      <c r="AD30">
        <v>0</v>
      </c>
      <c r="AE30">
        <v>15000</v>
      </c>
      <c r="AF30">
        <v>0</v>
      </c>
      <c r="AG30">
        <v>15000</v>
      </c>
      <c r="AH30">
        <v>0</v>
      </c>
      <c r="AI30">
        <v>0</v>
      </c>
      <c r="AJ30">
        <v>15000</v>
      </c>
      <c r="AK30">
        <v>15000</v>
      </c>
      <c r="AL30">
        <v>29000</v>
      </c>
      <c r="AM30">
        <v>29000</v>
      </c>
      <c r="AN30">
        <v>0</v>
      </c>
      <c r="AO30">
        <v>0</v>
      </c>
      <c r="AP30">
        <v>29000</v>
      </c>
      <c r="AQ30">
        <v>29000</v>
      </c>
      <c r="AR30">
        <v>0</v>
      </c>
      <c r="AS30">
        <v>5000</v>
      </c>
      <c r="AT30">
        <v>69000</v>
      </c>
      <c r="AU30">
        <v>30000</v>
      </c>
      <c r="AV30">
        <v>0</v>
      </c>
      <c r="AW30">
        <v>29000</v>
      </c>
      <c r="AX30">
        <v>0</v>
      </c>
      <c r="AY30">
        <v>0</v>
      </c>
      <c r="AZ30">
        <v>25000</v>
      </c>
      <c r="BA30">
        <v>0</v>
      </c>
      <c r="BB30">
        <v>7200</v>
      </c>
      <c r="BC30">
        <v>0</v>
      </c>
      <c r="BD30">
        <v>69000</v>
      </c>
      <c r="BE30">
        <v>29000</v>
      </c>
      <c r="BF30">
        <v>0</v>
      </c>
      <c r="BG30">
        <v>7200</v>
      </c>
      <c r="BH30">
        <v>69000</v>
      </c>
      <c r="BI30">
        <v>0</v>
      </c>
      <c r="BJ30">
        <v>15000</v>
      </c>
      <c r="BK30">
        <v>30000</v>
      </c>
      <c r="BL30">
        <v>69000</v>
      </c>
      <c r="BM30">
        <v>29000</v>
      </c>
      <c r="BN30">
        <v>15000</v>
      </c>
      <c r="BO30">
        <v>0</v>
      </c>
      <c r="BP30">
        <v>29000</v>
      </c>
      <c r="BQ30">
        <v>29000</v>
      </c>
      <c r="BR30">
        <v>7200</v>
      </c>
      <c r="BS30">
        <v>0</v>
      </c>
      <c r="BT30">
        <v>0</v>
      </c>
      <c r="BU30">
        <v>15000</v>
      </c>
      <c r="BV30">
        <v>69000</v>
      </c>
      <c r="BW30">
        <v>0</v>
      </c>
      <c r="BX30">
        <v>7200</v>
      </c>
      <c r="BY30">
        <v>7200</v>
      </c>
      <c r="BZ30">
        <v>15000</v>
      </c>
      <c r="CA30">
        <v>7200</v>
      </c>
      <c r="CB30">
        <v>29000</v>
      </c>
      <c r="CC30">
        <v>7200</v>
      </c>
      <c r="CD30">
        <v>0</v>
      </c>
      <c r="CE30">
        <v>0</v>
      </c>
      <c r="CF30">
        <v>0</v>
      </c>
      <c r="CG30">
        <v>29000</v>
      </c>
      <c r="CH30">
        <v>0</v>
      </c>
      <c r="CI30">
        <v>0</v>
      </c>
      <c r="CJ30">
        <v>30000</v>
      </c>
      <c r="CK30">
        <v>0</v>
      </c>
      <c r="CL30">
        <v>29000</v>
      </c>
      <c r="CM30">
        <v>29000</v>
      </c>
      <c r="CN30">
        <v>7200</v>
      </c>
      <c r="CO30">
        <v>0</v>
      </c>
      <c r="CP30">
        <v>30000</v>
      </c>
      <c r="CQ30">
        <v>7200</v>
      </c>
      <c r="CR30">
        <v>7200</v>
      </c>
      <c r="CS30">
        <v>7200</v>
      </c>
      <c r="CT30">
        <v>0</v>
      </c>
      <c r="CU30">
        <v>7200</v>
      </c>
      <c r="CV30">
        <v>7200</v>
      </c>
      <c r="CW30">
        <v>0</v>
      </c>
    </row>
    <row r="31" spans="1:101" x14ac:dyDescent="0.3">
      <c r="A31">
        <v>29</v>
      </c>
      <c r="B31">
        <v>19000</v>
      </c>
      <c r="C31">
        <v>70000</v>
      </c>
      <c r="D31">
        <v>7200</v>
      </c>
      <c r="E31">
        <v>0</v>
      </c>
      <c r="F31">
        <v>30000</v>
      </c>
      <c r="G31">
        <v>30000</v>
      </c>
      <c r="H31">
        <v>70000</v>
      </c>
      <c r="I31">
        <v>7200</v>
      </c>
      <c r="J31">
        <v>70000</v>
      </c>
      <c r="K31">
        <v>19000</v>
      </c>
      <c r="L31">
        <v>30000</v>
      </c>
      <c r="M31">
        <v>15000</v>
      </c>
      <c r="N31">
        <v>0</v>
      </c>
      <c r="O31">
        <v>15000</v>
      </c>
      <c r="P31">
        <v>14285.714285714286</v>
      </c>
      <c r="Q31">
        <v>0</v>
      </c>
      <c r="R31">
        <v>19000</v>
      </c>
      <c r="S31">
        <v>30000</v>
      </c>
      <c r="T31">
        <v>30000</v>
      </c>
      <c r="U31">
        <v>7200</v>
      </c>
      <c r="V31">
        <v>5000</v>
      </c>
      <c r="W31">
        <v>70000</v>
      </c>
      <c r="X31">
        <v>0</v>
      </c>
      <c r="Y31">
        <v>0</v>
      </c>
      <c r="Z31">
        <v>0</v>
      </c>
      <c r="AA31">
        <v>25000</v>
      </c>
      <c r="AB31">
        <v>15000</v>
      </c>
      <c r="AC31">
        <v>0</v>
      </c>
      <c r="AD31">
        <v>0</v>
      </c>
      <c r="AE31">
        <v>15000</v>
      </c>
      <c r="AF31">
        <v>0</v>
      </c>
      <c r="AG31">
        <v>15000</v>
      </c>
      <c r="AH31">
        <v>0</v>
      </c>
      <c r="AI31">
        <v>0</v>
      </c>
      <c r="AJ31">
        <v>15000</v>
      </c>
      <c r="AK31">
        <v>15000</v>
      </c>
      <c r="AL31">
        <v>30000</v>
      </c>
      <c r="AM31">
        <v>30000</v>
      </c>
      <c r="AN31">
        <v>0</v>
      </c>
      <c r="AO31">
        <v>0</v>
      </c>
      <c r="AP31">
        <v>30000</v>
      </c>
      <c r="AQ31">
        <v>30000</v>
      </c>
      <c r="AR31">
        <v>0</v>
      </c>
      <c r="AS31">
        <v>5000</v>
      </c>
      <c r="AT31">
        <v>70000</v>
      </c>
      <c r="AU31">
        <v>0</v>
      </c>
      <c r="AV31">
        <v>0</v>
      </c>
      <c r="AW31">
        <v>30000</v>
      </c>
      <c r="AX31">
        <v>0</v>
      </c>
      <c r="AY31">
        <v>30000</v>
      </c>
      <c r="AZ31">
        <v>25000</v>
      </c>
      <c r="BA31">
        <v>0</v>
      </c>
      <c r="BB31">
        <v>7200</v>
      </c>
      <c r="BC31">
        <v>0</v>
      </c>
      <c r="BD31">
        <v>70000</v>
      </c>
      <c r="BE31">
        <v>30000</v>
      </c>
      <c r="BF31">
        <v>0</v>
      </c>
      <c r="BG31">
        <v>7200</v>
      </c>
      <c r="BH31">
        <v>70000</v>
      </c>
      <c r="BI31">
        <v>0</v>
      </c>
      <c r="BJ31">
        <v>15000</v>
      </c>
      <c r="BK31">
        <v>0</v>
      </c>
      <c r="BL31">
        <v>70000</v>
      </c>
      <c r="BM31">
        <v>30000</v>
      </c>
      <c r="BN31">
        <v>15000</v>
      </c>
      <c r="BO31">
        <v>0</v>
      </c>
      <c r="BP31">
        <v>30000</v>
      </c>
      <c r="BQ31">
        <v>30000</v>
      </c>
      <c r="BR31">
        <v>7200</v>
      </c>
      <c r="BS31">
        <v>0</v>
      </c>
      <c r="BT31">
        <v>0</v>
      </c>
      <c r="BU31">
        <v>15000</v>
      </c>
      <c r="BV31">
        <v>70000</v>
      </c>
      <c r="BW31">
        <v>0</v>
      </c>
      <c r="BX31">
        <v>7200</v>
      </c>
      <c r="BY31">
        <v>7200</v>
      </c>
      <c r="BZ31">
        <v>15000</v>
      </c>
      <c r="CA31">
        <v>7200</v>
      </c>
      <c r="CB31">
        <v>30000</v>
      </c>
      <c r="CC31">
        <v>7200</v>
      </c>
      <c r="CD31">
        <v>30000</v>
      </c>
      <c r="CE31">
        <v>7200</v>
      </c>
      <c r="CF31">
        <v>0</v>
      </c>
      <c r="CG31">
        <v>30000</v>
      </c>
      <c r="CH31">
        <v>0</v>
      </c>
      <c r="CI31">
        <v>0</v>
      </c>
      <c r="CJ31">
        <v>0</v>
      </c>
      <c r="CK31">
        <v>0</v>
      </c>
      <c r="CL31">
        <v>30000</v>
      </c>
      <c r="CM31">
        <v>30000</v>
      </c>
      <c r="CN31">
        <v>7200</v>
      </c>
      <c r="CO31">
        <v>0</v>
      </c>
      <c r="CP31">
        <v>0</v>
      </c>
      <c r="CQ31">
        <v>7200</v>
      </c>
      <c r="CR31">
        <v>7200</v>
      </c>
      <c r="CS31">
        <v>7200</v>
      </c>
      <c r="CT31">
        <v>0</v>
      </c>
      <c r="CU31">
        <v>7200</v>
      </c>
      <c r="CV31">
        <v>7200</v>
      </c>
      <c r="CW31">
        <v>7200</v>
      </c>
    </row>
    <row r="32" spans="1:101" x14ac:dyDescent="0.3">
      <c r="A32">
        <v>30</v>
      </c>
      <c r="B32">
        <v>19000</v>
      </c>
      <c r="C32">
        <v>71000</v>
      </c>
      <c r="D32">
        <v>7200</v>
      </c>
      <c r="E32">
        <v>0</v>
      </c>
      <c r="F32">
        <v>31000</v>
      </c>
      <c r="G32">
        <v>31000</v>
      </c>
      <c r="H32">
        <v>71000</v>
      </c>
      <c r="I32">
        <v>7200</v>
      </c>
      <c r="J32">
        <v>71000</v>
      </c>
      <c r="K32">
        <v>19000</v>
      </c>
      <c r="L32">
        <v>0</v>
      </c>
      <c r="M32">
        <v>15000</v>
      </c>
      <c r="N32">
        <v>0</v>
      </c>
      <c r="O32">
        <v>15000</v>
      </c>
      <c r="P32">
        <v>14285.714285714286</v>
      </c>
      <c r="Q32">
        <v>0</v>
      </c>
      <c r="R32">
        <v>25000</v>
      </c>
      <c r="S32">
        <v>31000</v>
      </c>
      <c r="T32">
        <v>31000</v>
      </c>
      <c r="U32">
        <v>7200</v>
      </c>
      <c r="V32">
        <v>5000</v>
      </c>
      <c r="W32">
        <v>71000</v>
      </c>
      <c r="X32">
        <v>0</v>
      </c>
      <c r="Y32">
        <v>0</v>
      </c>
      <c r="Z32">
        <v>0</v>
      </c>
      <c r="AA32">
        <v>25000</v>
      </c>
      <c r="AB32">
        <v>15000</v>
      </c>
      <c r="AC32">
        <v>7200</v>
      </c>
      <c r="AD32">
        <v>0</v>
      </c>
      <c r="AE32">
        <v>15000</v>
      </c>
      <c r="AF32">
        <v>0</v>
      </c>
      <c r="AG32">
        <v>15000</v>
      </c>
      <c r="AH32">
        <v>0</v>
      </c>
      <c r="AI32">
        <v>0</v>
      </c>
      <c r="AJ32">
        <v>15000</v>
      </c>
      <c r="AK32">
        <v>15000</v>
      </c>
      <c r="AL32">
        <v>31000</v>
      </c>
      <c r="AM32">
        <v>31000</v>
      </c>
      <c r="AN32">
        <v>0</v>
      </c>
      <c r="AO32">
        <v>0</v>
      </c>
      <c r="AP32">
        <v>31000</v>
      </c>
      <c r="AQ32">
        <v>31000</v>
      </c>
      <c r="AR32">
        <v>0</v>
      </c>
      <c r="AS32">
        <v>5000</v>
      </c>
      <c r="AT32">
        <v>71000</v>
      </c>
      <c r="AU32">
        <v>30000</v>
      </c>
      <c r="AV32">
        <v>0</v>
      </c>
      <c r="AW32">
        <v>31000</v>
      </c>
      <c r="AX32">
        <v>0</v>
      </c>
      <c r="AY32">
        <v>0</v>
      </c>
      <c r="AZ32">
        <v>25000</v>
      </c>
      <c r="BA32">
        <v>0</v>
      </c>
      <c r="BB32">
        <v>7200</v>
      </c>
      <c r="BC32">
        <v>0</v>
      </c>
      <c r="BD32">
        <v>71000</v>
      </c>
      <c r="BE32">
        <v>31000</v>
      </c>
      <c r="BF32">
        <v>0</v>
      </c>
      <c r="BG32">
        <v>7200</v>
      </c>
      <c r="BH32">
        <v>71000</v>
      </c>
      <c r="BI32">
        <v>0</v>
      </c>
      <c r="BJ32">
        <v>15000</v>
      </c>
      <c r="BK32">
        <v>30000</v>
      </c>
      <c r="BL32">
        <v>71000</v>
      </c>
      <c r="BM32">
        <v>31000</v>
      </c>
      <c r="BN32">
        <v>15000</v>
      </c>
      <c r="BO32">
        <v>0</v>
      </c>
      <c r="BP32">
        <v>31000</v>
      </c>
      <c r="BQ32">
        <v>31000</v>
      </c>
      <c r="BR32">
        <v>7200</v>
      </c>
      <c r="BS32">
        <v>0</v>
      </c>
      <c r="BT32">
        <v>0</v>
      </c>
      <c r="BU32">
        <v>15000</v>
      </c>
      <c r="BV32">
        <v>71000</v>
      </c>
      <c r="BW32">
        <v>0</v>
      </c>
      <c r="BX32">
        <v>7200</v>
      </c>
      <c r="BY32">
        <v>7200</v>
      </c>
      <c r="BZ32">
        <v>15000</v>
      </c>
      <c r="CA32">
        <v>7200</v>
      </c>
      <c r="CB32">
        <v>31000</v>
      </c>
      <c r="CC32">
        <v>7200</v>
      </c>
      <c r="CD32">
        <v>0</v>
      </c>
      <c r="CE32">
        <v>7200</v>
      </c>
      <c r="CF32">
        <v>0</v>
      </c>
      <c r="CG32">
        <v>31000</v>
      </c>
      <c r="CH32">
        <v>0</v>
      </c>
      <c r="CI32">
        <v>0</v>
      </c>
      <c r="CJ32">
        <v>30000</v>
      </c>
      <c r="CK32">
        <v>0</v>
      </c>
      <c r="CL32">
        <v>31000</v>
      </c>
      <c r="CM32">
        <v>31000</v>
      </c>
      <c r="CN32">
        <v>7200</v>
      </c>
      <c r="CO32">
        <v>0</v>
      </c>
      <c r="CP32">
        <v>30000</v>
      </c>
      <c r="CQ32">
        <v>7200</v>
      </c>
      <c r="CR32">
        <v>7200</v>
      </c>
      <c r="CS32">
        <v>7200</v>
      </c>
      <c r="CT32">
        <v>0</v>
      </c>
      <c r="CU32">
        <v>7200</v>
      </c>
      <c r="CV32">
        <v>7200</v>
      </c>
      <c r="CW32">
        <v>7200</v>
      </c>
    </row>
    <row r="33" spans="1:101" x14ac:dyDescent="0.3">
      <c r="A33">
        <v>31</v>
      </c>
      <c r="B33">
        <v>19000</v>
      </c>
      <c r="C33">
        <v>72000</v>
      </c>
      <c r="D33">
        <v>7200</v>
      </c>
      <c r="E33">
        <v>0</v>
      </c>
      <c r="F33">
        <v>32000</v>
      </c>
      <c r="G33">
        <v>32000</v>
      </c>
      <c r="H33">
        <v>72000</v>
      </c>
      <c r="I33">
        <v>7200</v>
      </c>
      <c r="J33">
        <v>72000</v>
      </c>
      <c r="K33">
        <v>19000</v>
      </c>
      <c r="L33">
        <v>30000</v>
      </c>
      <c r="M33">
        <v>15000</v>
      </c>
      <c r="N33">
        <v>0</v>
      </c>
      <c r="O33">
        <v>15000</v>
      </c>
      <c r="P33">
        <v>14285.714285714286</v>
      </c>
      <c r="Q33">
        <v>0</v>
      </c>
      <c r="R33">
        <v>25000</v>
      </c>
      <c r="S33">
        <v>32000</v>
      </c>
      <c r="T33">
        <v>32000</v>
      </c>
      <c r="U33">
        <v>7200</v>
      </c>
      <c r="V33">
        <v>5000</v>
      </c>
      <c r="W33">
        <v>72000</v>
      </c>
      <c r="X33">
        <v>0</v>
      </c>
      <c r="Y33">
        <v>0</v>
      </c>
      <c r="Z33">
        <v>0</v>
      </c>
      <c r="AA33">
        <v>25000</v>
      </c>
      <c r="AB33">
        <v>15000</v>
      </c>
      <c r="AC33">
        <v>7200</v>
      </c>
      <c r="AD33">
        <v>0</v>
      </c>
      <c r="AE33">
        <v>15000</v>
      </c>
      <c r="AF33">
        <v>0</v>
      </c>
      <c r="AG33">
        <v>15000</v>
      </c>
      <c r="AH33">
        <v>0</v>
      </c>
      <c r="AI33">
        <v>0</v>
      </c>
      <c r="AJ33">
        <v>15000</v>
      </c>
      <c r="AK33">
        <v>15000</v>
      </c>
      <c r="AL33">
        <v>32000</v>
      </c>
      <c r="AM33">
        <v>32000</v>
      </c>
      <c r="AN33">
        <v>7200</v>
      </c>
      <c r="AO33">
        <v>0</v>
      </c>
      <c r="AP33">
        <v>32000</v>
      </c>
      <c r="AQ33">
        <v>32000</v>
      </c>
      <c r="AR33">
        <v>0</v>
      </c>
      <c r="AS33">
        <v>0</v>
      </c>
      <c r="AT33">
        <v>72000</v>
      </c>
      <c r="AU33">
        <v>0</v>
      </c>
      <c r="AV33">
        <v>0</v>
      </c>
      <c r="AW33">
        <v>32000</v>
      </c>
      <c r="AX33">
        <v>0</v>
      </c>
      <c r="AY33">
        <v>30000</v>
      </c>
      <c r="AZ33">
        <v>25000</v>
      </c>
      <c r="BA33">
        <v>0</v>
      </c>
      <c r="BB33">
        <v>7200</v>
      </c>
      <c r="BC33">
        <v>0</v>
      </c>
      <c r="BD33">
        <v>72000</v>
      </c>
      <c r="BE33">
        <v>32000</v>
      </c>
      <c r="BF33">
        <v>0</v>
      </c>
      <c r="BG33">
        <v>7200</v>
      </c>
      <c r="BH33">
        <v>72000</v>
      </c>
      <c r="BI33">
        <v>0</v>
      </c>
      <c r="BJ33">
        <v>15000</v>
      </c>
      <c r="BK33">
        <v>0</v>
      </c>
      <c r="BL33">
        <v>72000</v>
      </c>
      <c r="BM33">
        <v>32000</v>
      </c>
      <c r="BN33">
        <v>15000</v>
      </c>
      <c r="BO33">
        <v>0</v>
      </c>
      <c r="BP33">
        <v>32000</v>
      </c>
      <c r="BQ33">
        <v>32000</v>
      </c>
      <c r="BR33">
        <v>7200</v>
      </c>
      <c r="BS33">
        <v>0</v>
      </c>
      <c r="BT33">
        <v>0</v>
      </c>
      <c r="BU33">
        <v>15000</v>
      </c>
      <c r="BV33">
        <v>72000</v>
      </c>
      <c r="BW33">
        <v>19000</v>
      </c>
      <c r="BX33">
        <v>7200</v>
      </c>
      <c r="BY33">
        <v>7200</v>
      </c>
      <c r="BZ33">
        <v>15000</v>
      </c>
      <c r="CA33">
        <v>7200</v>
      </c>
      <c r="CB33">
        <v>32000</v>
      </c>
      <c r="CC33">
        <v>7200</v>
      </c>
      <c r="CD33">
        <v>30000</v>
      </c>
      <c r="CE33">
        <v>7200</v>
      </c>
      <c r="CF33">
        <v>0</v>
      </c>
      <c r="CG33">
        <v>32000</v>
      </c>
      <c r="CH33">
        <v>0</v>
      </c>
      <c r="CI33">
        <v>0</v>
      </c>
      <c r="CJ33">
        <v>0</v>
      </c>
      <c r="CK33">
        <v>0</v>
      </c>
      <c r="CL33">
        <v>32000</v>
      </c>
      <c r="CM33">
        <v>32000</v>
      </c>
      <c r="CN33">
        <v>7200</v>
      </c>
      <c r="CO33">
        <v>0</v>
      </c>
      <c r="CP33">
        <v>0</v>
      </c>
      <c r="CQ33">
        <v>7200</v>
      </c>
      <c r="CR33">
        <v>7200</v>
      </c>
      <c r="CS33">
        <v>7200</v>
      </c>
      <c r="CT33">
        <v>0</v>
      </c>
      <c r="CU33">
        <v>7200</v>
      </c>
      <c r="CV33">
        <v>7200</v>
      </c>
      <c r="CW33">
        <v>7200</v>
      </c>
    </row>
    <row r="34" spans="1:101" x14ac:dyDescent="0.3">
      <c r="A34">
        <v>32</v>
      </c>
      <c r="B34">
        <v>19000</v>
      </c>
      <c r="C34">
        <v>73000</v>
      </c>
      <c r="D34">
        <v>7200</v>
      </c>
      <c r="E34">
        <v>0</v>
      </c>
      <c r="F34">
        <v>33000</v>
      </c>
      <c r="G34">
        <v>33000</v>
      </c>
      <c r="H34">
        <v>73000</v>
      </c>
      <c r="I34">
        <v>7200</v>
      </c>
      <c r="J34">
        <v>73000</v>
      </c>
      <c r="K34">
        <v>25000</v>
      </c>
      <c r="L34">
        <v>0</v>
      </c>
      <c r="M34">
        <v>0</v>
      </c>
      <c r="N34">
        <v>0</v>
      </c>
      <c r="O34">
        <v>15000</v>
      </c>
      <c r="P34">
        <v>14285.714285714286</v>
      </c>
      <c r="Q34">
        <v>0</v>
      </c>
      <c r="R34">
        <v>25000</v>
      </c>
      <c r="S34">
        <v>33000</v>
      </c>
      <c r="T34">
        <v>33000</v>
      </c>
      <c r="U34">
        <v>7200</v>
      </c>
      <c r="V34">
        <v>5000</v>
      </c>
      <c r="W34">
        <v>73000</v>
      </c>
      <c r="X34">
        <v>0</v>
      </c>
      <c r="Y34">
        <v>0</v>
      </c>
      <c r="Z34">
        <v>0</v>
      </c>
      <c r="AA34">
        <v>25000</v>
      </c>
      <c r="AB34">
        <v>15000</v>
      </c>
      <c r="AC34">
        <v>7200</v>
      </c>
      <c r="AD34">
        <v>0</v>
      </c>
      <c r="AE34">
        <v>15000</v>
      </c>
      <c r="AF34">
        <v>0</v>
      </c>
      <c r="AG34">
        <v>15000</v>
      </c>
      <c r="AH34">
        <v>0</v>
      </c>
      <c r="AI34">
        <v>0</v>
      </c>
      <c r="AJ34">
        <v>15000</v>
      </c>
      <c r="AK34">
        <v>15000</v>
      </c>
      <c r="AL34">
        <v>33000</v>
      </c>
      <c r="AM34">
        <v>33000</v>
      </c>
      <c r="AN34">
        <v>7200</v>
      </c>
      <c r="AO34">
        <v>0</v>
      </c>
      <c r="AP34">
        <v>33000</v>
      </c>
      <c r="AQ34">
        <v>33000</v>
      </c>
      <c r="AR34">
        <v>0</v>
      </c>
      <c r="AS34">
        <v>0</v>
      </c>
      <c r="AT34">
        <v>73000</v>
      </c>
      <c r="AU34">
        <v>30000</v>
      </c>
      <c r="AV34">
        <v>0</v>
      </c>
      <c r="AW34">
        <v>33000</v>
      </c>
      <c r="AX34">
        <v>5555.5555555555557</v>
      </c>
      <c r="AY34">
        <v>0</v>
      </c>
      <c r="AZ34">
        <v>0</v>
      </c>
      <c r="BA34">
        <v>0</v>
      </c>
      <c r="BB34">
        <v>7200</v>
      </c>
      <c r="BC34">
        <v>0</v>
      </c>
      <c r="BD34">
        <v>73000</v>
      </c>
      <c r="BE34">
        <v>33000</v>
      </c>
      <c r="BF34">
        <v>0</v>
      </c>
      <c r="BG34">
        <v>7200</v>
      </c>
      <c r="BH34">
        <v>73000</v>
      </c>
      <c r="BI34">
        <v>0</v>
      </c>
      <c r="BJ34">
        <v>15000</v>
      </c>
      <c r="BK34">
        <v>30000</v>
      </c>
      <c r="BL34">
        <v>73000</v>
      </c>
      <c r="BM34">
        <v>33000</v>
      </c>
      <c r="BN34">
        <v>15000</v>
      </c>
      <c r="BO34">
        <v>0</v>
      </c>
      <c r="BP34">
        <v>33000</v>
      </c>
      <c r="BQ34">
        <v>33000</v>
      </c>
      <c r="BR34">
        <v>7200</v>
      </c>
      <c r="BS34">
        <v>0</v>
      </c>
      <c r="BT34">
        <v>0</v>
      </c>
      <c r="BU34">
        <v>0</v>
      </c>
      <c r="BV34">
        <v>73000</v>
      </c>
      <c r="BW34">
        <v>19000</v>
      </c>
      <c r="BX34">
        <v>7200</v>
      </c>
      <c r="BY34">
        <v>7200</v>
      </c>
      <c r="BZ34">
        <v>15000</v>
      </c>
      <c r="CA34">
        <v>7200</v>
      </c>
      <c r="CB34">
        <v>33000</v>
      </c>
      <c r="CC34">
        <v>7200</v>
      </c>
      <c r="CD34">
        <v>0</v>
      </c>
      <c r="CE34">
        <v>7200</v>
      </c>
      <c r="CF34">
        <v>0</v>
      </c>
      <c r="CG34">
        <v>33000</v>
      </c>
      <c r="CH34">
        <v>0</v>
      </c>
      <c r="CI34">
        <v>0</v>
      </c>
      <c r="CJ34">
        <v>30000</v>
      </c>
      <c r="CK34">
        <v>15000</v>
      </c>
      <c r="CL34">
        <v>33000</v>
      </c>
      <c r="CM34">
        <v>33000</v>
      </c>
      <c r="CN34">
        <v>7200</v>
      </c>
      <c r="CO34">
        <v>0</v>
      </c>
      <c r="CP34">
        <v>30000</v>
      </c>
      <c r="CQ34">
        <v>7200</v>
      </c>
      <c r="CR34">
        <v>7200</v>
      </c>
      <c r="CS34">
        <v>7200</v>
      </c>
      <c r="CT34">
        <v>0</v>
      </c>
      <c r="CU34">
        <v>7200</v>
      </c>
      <c r="CV34">
        <v>7200</v>
      </c>
      <c r="CW34">
        <v>7200</v>
      </c>
    </row>
    <row r="35" spans="1:101" x14ac:dyDescent="0.3">
      <c r="A35">
        <v>33</v>
      </c>
      <c r="B35">
        <v>19000</v>
      </c>
      <c r="C35">
        <v>74000</v>
      </c>
      <c r="D35">
        <v>7200</v>
      </c>
      <c r="E35">
        <v>0</v>
      </c>
      <c r="F35">
        <v>34000</v>
      </c>
      <c r="G35">
        <v>34000</v>
      </c>
      <c r="H35">
        <v>74000</v>
      </c>
      <c r="I35">
        <v>7200</v>
      </c>
      <c r="J35">
        <v>74000</v>
      </c>
      <c r="K35">
        <v>25000</v>
      </c>
      <c r="L35">
        <v>30000</v>
      </c>
      <c r="M35">
        <v>0</v>
      </c>
      <c r="N35">
        <v>0</v>
      </c>
      <c r="O35">
        <v>15000</v>
      </c>
      <c r="P35">
        <v>0</v>
      </c>
      <c r="Q35">
        <v>0</v>
      </c>
      <c r="R35">
        <v>25000</v>
      </c>
      <c r="S35">
        <v>34000</v>
      </c>
      <c r="T35">
        <v>34000</v>
      </c>
      <c r="U35">
        <v>7200</v>
      </c>
      <c r="V35">
        <v>5000</v>
      </c>
      <c r="W35">
        <v>74000</v>
      </c>
      <c r="X35">
        <v>0</v>
      </c>
      <c r="Y35">
        <v>0</v>
      </c>
      <c r="Z35">
        <v>0</v>
      </c>
      <c r="AA35">
        <v>25000</v>
      </c>
      <c r="AB35">
        <v>15000</v>
      </c>
      <c r="AC35">
        <v>7200</v>
      </c>
      <c r="AD35">
        <v>0</v>
      </c>
      <c r="AE35">
        <v>0</v>
      </c>
      <c r="AF35">
        <v>0</v>
      </c>
      <c r="AG35">
        <v>15000</v>
      </c>
      <c r="AH35">
        <v>0</v>
      </c>
      <c r="AI35">
        <v>0</v>
      </c>
      <c r="AJ35">
        <v>15000</v>
      </c>
      <c r="AK35">
        <v>15000</v>
      </c>
      <c r="AL35">
        <v>34000</v>
      </c>
      <c r="AM35">
        <v>34000</v>
      </c>
      <c r="AN35">
        <v>7200</v>
      </c>
      <c r="AO35">
        <v>0</v>
      </c>
      <c r="AP35">
        <v>34000</v>
      </c>
      <c r="AQ35">
        <v>34000</v>
      </c>
      <c r="AR35">
        <v>0</v>
      </c>
      <c r="AS35">
        <v>0</v>
      </c>
      <c r="AT35">
        <v>74000</v>
      </c>
      <c r="AU35">
        <v>0</v>
      </c>
      <c r="AV35">
        <v>0</v>
      </c>
      <c r="AW35">
        <v>34000</v>
      </c>
      <c r="AX35">
        <v>5555.5555555555557</v>
      </c>
      <c r="AY35">
        <v>30000</v>
      </c>
      <c r="AZ35">
        <v>0</v>
      </c>
      <c r="BA35">
        <v>0</v>
      </c>
      <c r="BB35">
        <v>7200</v>
      </c>
      <c r="BC35">
        <v>0</v>
      </c>
      <c r="BD35">
        <v>74000</v>
      </c>
      <c r="BE35">
        <v>34000</v>
      </c>
      <c r="BF35">
        <v>0</v>
      </c>
      <c r="BG35">
        <v>7200</v>
      </c>
      <c r="BH35">
        <v>74000</v>
      </c>
      <c r="BI35">
        <v>0</v>
      </c>
      <c r="BJ35">
        <v>15000</v>
      </c>
      <c r="BK35">
        <v>0</v>
      </c>
      <c r="BL35">
        <v>74000</v>
      </c>
      <c r="BM35">
        <v>34000</v>
      </c>
      <c r="BN35">
        <v>15000</v>
      </c>
      <c r="BO35">
        <v>0</v>
      </c>
      <c r="BP35">
        <v>34000</v>
      </c>
      <c r="BQ35">
        <v>34000</v>
      </c>
      <c r="BR35">
        <v>7200</v>
      </c>
      <c r="BS35">
        <v>0</v>
      </c>
      <c r="BT35">
        <v>0</v>
      </c>
      <c r="BU35">
        <v>0</v>
      </c>
      <c r="BV35">
        <v>74000</v>
      </c>
      <c r="BW35">
        <v>19000</v>
      </c>
      <c r="BX35">
        <v>7200</v>
      </c>
      <c r="BY35">
        <v>7200</v>
      </c>
      <c r="BZ35">
        <v>15000</v>
      </c>
      <c r="CA35">
        <v>7200</v>
      </c>
      <c r="CB35">
        <v>34000</v>
      </c>
      <c r="CC35">
        <v>7200</v>
      </c>
      <c r="CD35">
        <v>30000</v>
      </c>
      <c r="CE35">
        <v>7200</v>
      </c>
      <c r="CF35">
        <v>0</v>
      </c>
      <c r="CG35">
        <v>34000</v>
      </c>
      <c r="CH35">
        <v>0</v>
      </c>
      <c r="CI35">
        <v>0</v>
      </c>
      <c r="CJ35">
        <v>0</v>
      </c>
      <c r="CK35">
        <v>15000</v>
      </c>
      <c r="CL35">
        <v>34000</v>
      </c>
      <c r="CM35">
        <v>34000</v>
      </c>
      <c r="CN35">
        <v>7200</v>
      </c>
      <c r="CO35">
        <v>0</v>
      </c>
      <c r="CP35">
        <v>0</v>
      </c>
      <c r="CQ35">
        <v>7200</v>
      </c>
      <c r="CR35">
        <v>7200</v>
      </c>
      <c r="CS35">
        <v>7200</v>
      </c>
      <c r="CT35">
        <v>0</v>
      </c>
      <c r="CU35">
        <v>7200</v>
      </c>
      <c r="CV35">
        <v>7200</v>
      </c>
      <c r="CW35">
        <v>7200</v>
      </c>
    </row>
    <row r="36" spans="1:101" x14ac:dyDescent="0.3">
      <c r="A36">
        <v>34</v>
      </c>
      <c r="B36">
        <v>19000</v>
      </c>
      <c r="C36">
        <v>75000</v>
      </c>
      <c r="D36">
        <v>7200</v>
      </c>
      <c r="E36">
        <v>0</v>
      </c>
      <c r="F36">
        <v>35000</v>
      </c>
      <c r="G36">
        <v>35000</v>
      </c>
      <c r="H36">
        <v>75000</v>
      </c>
      <c r="I36">
        <v>7200</v>
      </c>
      <c r="J36">
        <v>75000</v>
      </c>
      <c r="K36">
        <v>25000</v>
      </c>
      <c r="L36">
        <v>0</v>
      </c>
      <c r="M36">
        <v>0</v>
      </c>
      <c r="N36">
        <v>0</v>
      </c>
      <c r="O36">
        <v>15000</v>
      </c>
      <c r="P36">
        <v>0</v>
      </c>
      <c r="Q36">
        <v>0</v>
      </c>
      <c r="R36">
        <v>25000</v>
      </c>
      <c r="S36">
        <v>35000</v>
      </c>
      <c r="T36">
        <v>35000</v>
      </c>
      <c r="U36">
        <v>7200</v>
      </c>
      <c r="V36">
        <v>5000</v>
      </c>
      <c r="W36">
        <v>75000</v>
      </c>
      <c r="X36">
        <v>0</v>
      </c>
      <c r="Y36">
        <v>0</v>
      </c>
      <c r="Z36">
        <v>0</v>
      </c>
      <c r="AA36">
        <v>25000</v>
      </c>
      <c r="AB36">
        <v>15000</v>
      </c>
      <c r="AC36">
        <v>7200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15000</v>
      </c>
      <c r="AK36">
        <v>15000</v>
      </c>
      <c r="AL36">
        <v>35000</v>
      </c>
      <c r="AM36">
        <v>35000</v>
      </c>
      <c r="AN36">
        <v>7200</v>
      </c>
      <c r="AO36">
        <v>0</v>
      </c>
      <c r="AP36">
        <v>35000</v>
      </c>
      <c r="AQ36">
        <v>35000</v>
      </c>
      <c r="AR36">
        <v>0</v>
      </c>
      <c r="AS36">
        <v>0</v>
      </c>
      <c r="AT36">
        <v>75000</v>
      </c>
      <c r="AU36">
        <v>0</v>
      </c>
      <c r="AV36">
        <v>0</v>
      </c>
      <c r="AW36">
        <v>35000</v>
      </c>
      <c r="AX36">
        <v>5555.5555555555557</v>
      </c>
      <c r="AY36">
        <v>0</v>
      </c>
      <c r="AZ36">
        <v>0</v>
      </c>
      <c r="BA36">
        <v>0</v>
      </c>
      <c r="BB36">
        <v>7200</v>
      </c>
      <c r="BC36">
        <v>0</v>
      </c>
      <c r="BD36">
        <v>75000</v>
      </c>
      <c r="BE36">
        <v>35000</v>
      </c>
      <c r="BF36">
        <v>0</v>
      </c>
      <c r="BG36">
        <v>7200</v>
      </c>
      <c r="BH36">
        <v>75000</v>
      </c>
      <c r="BI36">
        <v>0</v>
      </c>
      <c r="BJ36">
        <v>15000</v>
      </c>
      <c r="BK36">
        <v>0</v>
      </c>
      <c r="BL36">
        <v>75000</v>
      </c>
      <c r="BM36">
        <v>35000</v>
      </c>
      <c r="BN36">
        <v>15000</v>
      </c>
      <c r="BO36">
        <v>0</v>
      </c>
      <c r="BP36">
        <v>35000</v>
      </c>
      <c r="BQ36">
        <v>35000</v>
      </c>
      <c r="BR36">
        <v>7200</v>
      </c>
      <c r="BS36">
        <v>0</v>
      </c>
      <c r="BT36">
        <v>0</v>
      </c>
      <c r="BU36">
        <v>0</v>
      </c>
      <c r="BV36">
        <v>75000</v>
      </c>
      <c r="BW36">
        <v>25000</v>
      </c>
      <c r="BX36">
        <v>7200</v>
      </c>
      <c r="BY36">
        <v>7200</v>
      </c>
      <c r="BZ36">
        <v>0</v>
      </c>
      <c r="CA36">
        <v>7200</v>
      </c>
      <c r="CB36">
        <v>35000</v>
      </c>
      <c r="CC36">
        <v>7200</v>
      </c>
      <c r="CD36">
        <v>0</v>
      </c>
      <c r="CE36">
        <v>7200</v>
      </c>
      <c r="CF36">
        <v>0</v>
      </c>
      <c r="CG36">
        <v>35000</v>
      </c>
      <c r="CH36">
        <v>0</v>
      </c>
      <c r="CI36">
        <v>0</v>
      </c>
      <c r="CJ36">
        <v>0</v>
      </c>
      <c r="CK36">
        <v>15000</v>
      </c>
      <c r="CL36">
        <v>35000</v>
      </c>
      <c r="CM36">
        <v>35000</v>
      </c>
      <c r="CN36">
        <v>7200</v>
      </c>
      <c r="CO36">
        <v>0</v>
      </c>
      <c r="CP36">
        <v>30000</v>
      </c>
      <c r="CQ36">
        <v>7200</v>
      </c>
      <c r="CR36">
        <v>7200</v>
      </c>
      <c r="CS36">
        <v>7200</v>
      </c>
      <c r="CT36">
        <v>0</v>
      </c>
      <c r="CU36">
        <v>7200</v>
      </c>
      <c r="CV36">
        <v>7200</v>
      </c>
      <c r="CW36">
        <v>7200</v>
      </c>
    </row>
    <row r="37" spans="1:101" x14ac:dyDescent="0.3">
      <c r="A37">
        <v>35</v>
      </c>
      <c r="B37">
        <v>19000</v>
      </c>
      <c r="C37">
        <v>76000</v>
      </c>
      <c r="D37">
        <v>7200</v>
      </c>
      <c r="E37">
        <v>0</v>
      </c>
      <c r="F37">
        <v>36000</v>
      </c>
      <c r="G37">
        <v>36000</v>
      </c>
      <c r="H37">
        <v>76000</v>
      </c>
      <c r="I37">
        <v>7200</v>
      </c>
      <c r="J37">
        <v>76000</v>
      </c>
      <c r="K37">
        <v>25000</v>
      </c>
      <c r="L37">
        <v>30000</v>
      </c>
      <c r="M37">
        <v>0</v>
      </c>
      <c r="N37">
        <v>0</v>
      </c>
      <c r="O37">
        <v>15000</v>
      </c>
      <c r="P37">
        <v>0</v>
      </c>
      <c r="Q37">
        <v>0</v>
      </c>
      <c r="R37">
        <v>25000</v>
      </c>
      <c r="S37">
        <v>36000</v>
      </c>
      <c r="T37">
        <v>36000</v>
      </c>
      <c r="U37">
        <v>7200</v>
      </c>
      <c r="V37">
        <v>5000</v>
      </c>
      <c r="W37">
        <v>76000</v>
      </c>
      <c r="X37">
        <v>0</v>
      </c>
      <c r="Y37">
        <v>0</v>
      </c>
      <c r="Z37">
        <v>0</v>
      </c>
      <c r="AA37">
        <v>25000</v>
      </c>
      <c r="AB37">
        <v>15000</v>
      </c>
      <c r="AC37">
        <v>7200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15000</v>
      </c>
      <c r="AK37">
        <v>15000</v>
      </c>
      <c r="AL37">
        <v>36000</v>
      </c>
      <c r="AM37">
        <v>36000</v>
      </c>
      <c r="AN37">
        <v>7200</v>
      </c>
      <c r="AO37">
        <v>0</v>
      </c>
      <c r="AP37">
        <v>36000</v>
      </c>
      <c r="AQ37">
        <v>36000</v>
      </c>
      <c r="AR37">
        <v>0</v>
      </c>
      <c r="AS37">
        <v>0</v>
      </c>
      <c r="AT37">
        <v>76000</v>
      </c>
      <c r="AU37">
        <v>0</v>
      </c>
      <c r="AV37">
        <v>0</v>
      </c>
      <c r="AW37">
        <v>36000</v>
      </c>
      <c r="AX37">
        <v>5555.5555555555557</v>
      </c>
      <c r="AY37">
        <v>0</v>
      </c>
      <c r="AZ37">
        <v>0</v>
      </c>
      <c r="BA37">
        <v>0</v>
      </c>
      <c r="BB37">
        <v>7200</v>
      </c>
      <c r="BC37">
        <v>0</v>
      </c>
      <c r="BD37">
        <v>76000</v>
      </c>
      <c r="BE37">
        <v>36000</v>
      </c>
      <c r="BF37">
        <v>0</v>
      </c>
      <c r="BG37">
        <v>7200</v>
      </c>
      <c r="BH37">
        <v>76000</v>
      </c>
      <c r="BI37">
        <v>0</v>
      </c>
      <c r="BJ37">
        <v>15000</v>
      </c>
      <c r="BK37">
        <v>0</v>
      </c>
      <c r="BL37">
        <v>76000</v>
      </c>
      <c r="BM37">
        <v>36000</v>
      </c>
      <c r="BN37">
        <v>15000</v>
      </c>
      <c r="BO37">
        <v>0</v>
      </c>
      <c r="BP37">
        <v>36000</v>
      </c>
      <c r="BQ37">
        <v>36000</v>
      </c>
      <c r="BR37">
        <v>7200</v>
      </c>
      <c r="BS37">
        <v>0</v>
      </c>
      <c r="BT37">
        <v>0</v>
      </c>
      <c r="BU37">
        <v>0</v>
      </c>
      <c r="BV37">
        <v>76000</v>
      </c>
      <c r="BW37">
        <v>25000</v>
      </c>
      <c r="BX37">
        <v>7200</v>
      </c>
      <c r="BY37">
        <v>7200</v>
      </c>
      <c r="BZ37">
        <v>0</v>
      </c>
      <c r="CA37">
        <v>7200</v>
      </c>
      <c r="CB37">
        <v>36000</v>
      </c>
      <c r="CC37">
        <v>7200</v>
      </c>
      <c r="CD37">
        <v>30000</v>
      </c>
      <c r="CE37">
        <v>7200</v>
      </c>
      <c r="CF37">
        <v>0</v>
      </c>
      <c r="CG37">
        <v>36000</v>
      </c>
      <c r="CH37">
        <v>0</v>
      </c>
      <c r="CI37">
        <v>0</v>
      </c>
      <c r="CJ37">
        <v>0</v>
      </c>
      <c r="CK37">
        <v>15000</v>
      </c>
      <c r="CL37">
        <v>36000</v>
      </c>
      <c r="CM37">
        <v>36000</v>
      </c>
      <c r="CN37">
        <v>7200</v>
      </c>
      <c r="CO37">
        <v>0</v>
      </c>
      <c r="CP37">
        <v>0</v>
      </c>
      <c r="CQ37">
        <v>7200</v>
      </c>
      <c r="CR37">
        <v>7200</v>
      </c>
      <c r="CS37">
        <v>7200</v>
      </c>
      <c r="CT37">
        <v>0</v>
      </c>
      <c r="CU37">
        <v>7200</v>
      </c>
      <c r="CV37">
        <v>7200</v>
      </c>
      <c r="CW37">
        <v>7200</v>
      </c>
    </row>
    <row r="38" spans="1:101" x14ac:dyDescent="0.3">
      <c r="A38">
        <v>36</v>
      </c>
      <c r="B38">
        <v>25000</v>
      </c>
      <c r="C38">
        <v>77000</v>
      </c>
      <c r="D38">
        <v>7200</v>
      </c>
      <c r="E38">
        <v>0</v>
      </c>
      <c r="F38">
        <v>37000</v>
      </c>
      <c r="G38">
        <v>37000</v>
      </c>
      <c r="H38">
        <v>77000</v>
      </c>
      <c r="I38">
        <v>7200</v>
      </c>
      <c r="J38">
        <v>77000</v>
      </c>
      <c r="K38">
        <v>25000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25000</v>
      </c>
      <c r="S38">
        <v>37000</v>
      </c>
      <c r="T38">
        <v>37000</v>
      </c>
      <c r="U38">
        <v>7200</v>
      </c>
      <c r="V38">
        <v>5000</v>
      </c>
      <c r="W38">
        <v>77000</v>
      </c>
      <c r="X38">
        <v>0</v>
      </c>
      <c r="Y38">
        <v>0</v>
      </c>
      <c r="Z38">
        <v>0</v>
      </c>
      <c r="AA38">
        <v>25000</v>
      </c>
      <c r="AB38">
        <v>15000</v>
      </c>
      <c r="AC38">
        <v>7200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15000</v>
      </c>
      <c r="AK38">
        <v>15000</v>
      </c>
      <c r="AL38">
        <v>37000</v>
      </c>
      <c r="AM38">
        <v>37000</v>
      </c>
      <c r="AN38">
        <v>7200</v>
      </c>
      <c r="AO38">
        <v>0</v>
      </c>
      <c r="AP38">
        <v>37000</v>
      </c>
      <c r="AQ38">
        <v>37000</v>
      </c>
      <c r="AR38">
        <v>0</v>
      </c>
      <c r="AS38">
        <v>0</v>
      </c>
      <c r="AT38">
        <v>77000</v>
      </c>
      <c r="AU38">
        <v>0</v>
      </c>
      <c r="AV38">
        <v>0</v>
      </c>
      <c r="AW38">
        <v>37000</v>
      </c>
      <c r="AX38">
        <v>5555.5555555555557</v>
      </c>
      <c r="AY38">
        <v>0</v>
      </c>
      <c r="AZ38">
        <v>0</v>
      </c>
      <c r="BA38">
        <v>0</v>
      </c>
      <c r="BB38">
        <v>7200</v>
      </c>
      <c r="BC38">
        <v>0</v>
      </c>
      <c r="BD38">
        <v>77000</v>
      </c>
      <c r="BE38">
        <v>37000</v>
      </c>
      <c r="BF38">
        <v>0</v>
      </c>
      <c r="BG38">
        <v>7200</v>
      </c>
      <c r="BH38">
        <v>77000</v>
      </c>
      <c r="BI38">
        <v>0</v>
      </c>
      <c r="BJ38">
        <v>15000</v>
      </c>
      <c r="BK38">
        <v>0</v>
      </c>
      <c r="BL38">
        <v>77000</v>
      </c>
      <c r="BM38">
        <v>37000</v>
      </c>
      <c r="BN38">
        <v>15000</v>
      </c>
      <c r="BO38">
        <v>0</v>
      </c>
      <c r="BP38">
        <v>37000</v>
      </c>
      <c r="BQ38">
        <v>37000</v>
      </c>
      <c r="BR38">
        <v>7200</v>
      </c>
      <c r="BS38">
        <v>0</v>
      </c>
      <c r="BT38">
        <v>0</v>
      </c>
      <c r="BU38">
        <v>0</v>
      </c>
      <c r="BV38">
        <v>77000</v>
      </c>
      <c r="BW38">
        <v>0</v>
      </c>
      <c r="BX38">
        <v>7200</v>
      </c>
      <c r="BY38">
        <v>7200</v>
      </c>
      <c r="BZ38">
        <v>0</v>
      </c>
      <c r="CA38">
        <v>7200</v>
      </c>
      <c r="CB38">
        <v>37000</v>
      </c>
      <c r="CC38">
        <v>7200</v>
      </c>
      <c r="CD38">
        <v>0</v>
      </c>
      <c r="CE38">
        <v>7200</v>
      </c>
      <c r="CF38">
        <v>0</v>
      </c>
      <c r="CG38">
        <v>37000</v>
      </c>
      <c r="CH38">
        <v>0</v>
      </c>
      <c r="CI38">
        <v>0</v>
      </c>
      <c r="CJ38">
        <v>0</v>
      </c>
      <c r="CK38">
        <v>15000</v>
      </c>
      <c r="CL38">
        <v>37000</v>
      </c>
      <c r="CM38">
        <v>37000</v>
      </c>
      <c r="CN38">
        <v>7200</v>
      </c>
      <c r="CO38">
        <v>0</v>
      </c>
      <c r="CP38">
        <v>30000</v>
      </c>
      <c r="CQ38">
        <v>7200</v>
      </c>
      <c r="CR38">
        <v>7200</v>
      </c>
      <c r="CS38">
        <v>7200</v>
      </c>
      <c r="CT38">
        <v>0</v>
      </c>
      <c r="CU38">
        <v>7200</v>
      </c>
      <c r="CV38">
        <v>7200</v>
      </c>
      <c r="CW38">
        <v>7200</v>
      </c>
    </row>
    <row r="39" spans="1:101" x14ac:dyDescent="0.3">
      <c r="A39">
        <v>37</v>
      </c>
      <c r="B39">
        <v>25000</v>
      </c>
      <c r="C39">
        <v>78000</v>
      </c>
      <c r="D39">
        <v>7200</v>
      </c>
      <c r="E39">
        <v>0</v>
      </c>
      <c r="F39">
        <v>38000</v>
      </c>
      <c r="G39">
        <v>38000</v>
      </c>
      <c r="H39">
        <v>78000</v>
      </c>
      <c r="I39">
        <v>7200</v>
      </c>
      <c r="J39">
        <v>78000</v>
      </c>
      <c r="K39">
        <v>25000</v>
      </c>
      <c r="L39">
        <v>30000</v>
      </c>
      <c r="M39">
        <v>0</v>
      </c>
      <c r="N39">
        <v>0</v>
      </c>
      <c r="O39">
        <v>0</v>
      </c>
      <c r="P39">
        <v>0</v>
      </c>
      <c r="Q39">
        <v>0</v>
      </c>
      <c r="R39">
        <v>25000</v>
      </c>
      <c r="S39">
        <v>38000</v>
      </c>
      <c r="T39">
        <v>38000</v>
      </c>
      <c r="U39">
        <v>7200</v>
      </c>
      <c r="V39">
        <v>0</v>
      </c>
      <c r="W39">
        <v>78000</v>
      </c>
      <c r="X39">
        <v>0</v>
      </c>
      <c r="Y39">
        <v>0</v>
      </c>
      <c r="Z39">
        <v>0</v>
      </c>
      <c r="AA39">
        <v>25000</v>
      </c>
      <c r="AB39">
        <v>0</v>
      </c>
      <c r="AC39">
        <v>7200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15000</v>
      </c>
      <c r="AK39">
        <v>15000</v>
      </c>
      <c r="AL39">
        <v>38000</v>
      </c>
      <c r="AM39">
        <v>38000</v>
      </c>
      <c r="AN39">
        <v>7200</v>
      </c>
      <c r="AO39">
        <v>15000</v>
      </c>
      <c r="AP39">
        <v>38000</v>
      </c>
      <c r="AQ39">
        <v>38000</v>
      </c>
      <c r="AR39">
        <v>0</v>
      </c>
      <c r="AS39">
        <v>0</v>
      </c>
      <c r="AT39">
        <v>78000</v>
      </c>
      <c r="AU39">
        <v>0</v>
      </c>
      <c r="AV39">
        <v>0</v>
      </c>
      <c r="AW39">
        <v>38000</v>
      </c>
      <c r="AX39">
        <v>5555.5555555555557</v>
      </c>
      <c r="AY39">
        <v>0</v>
      </c>
      <c r="AZ39">
        <v>0</v>
      </c>
      <c r="BA39">
        <v>7200</v>
      </c>
      <c r="BB39">
        <v>7200</v>
      </c>
      <c r="BC39">
        <v>0</v>
      </c>
      <c r="BD39">
        <v>78000</v>
      </c>
      <c r="BE39">
        <v>38000</v>
      </c>
      <c r="BF39">
        <v>7200</v>
      </c>
      <c r="BG39">
        <v>7200</v>
      </c>
      <c r="BH39">
        <v>78000</v>
      </c>
      <c r="BI39">
        <v>0</v>
      </c>
      <c r="BJ39">
        <v>15000</v>
      </c>
      <c r="BK39">
        <v>0</v>
      </c>
      <c r="BL39">
        <v>78000</v>
      </c>
      <c r="BM39">
        <v>38000</v>
      </c>
      <c r="BN39">
        <v>15000</v>
      </c>
      <c r="BO39">
        <v>0</v>
      </c>
      <c r="BP39">
        <v>38000</v>
      </c>
      <c r="BQ39">
        <v>38000</v>
      </c>
      <c r="BR39">
        <v>7200</v>
      </c>
      <c r="BS39">
        <v>0</v>
      </c>
      <c r="BT39">
        <v>0</v>
      </c>
      <c r="BU39">
        <v>0</v>
      </c>
      <c r="BV39">
        <v>78000</v>
      </c>
      <c r="BW39">
        <v>0</v>
      </c>
      <c r="BX39">
        <v>7200</v>
      </c>
      <c r="BY39">
        <v>7200</v>
      </c>
      <c r="BZ39">
        <v>0</v>
      </c>
      <c r="CA39">
        <v>7200</v>
      </c>
      <c r="CB39">
        <v>38000</v>
      </c>
      <c r="CC39">
        <v>7200</v>
      </c>
      <c r="CD39">
        <v>30000</v>
      </c>
      <c r="CE39">
        <v>7200</v>
      </c>
      <c r="CF39">
        <v>0</v>
      </c>
      <c r="CG39">
        <v>38000</v>
      </c>
      <c r="CH39">
        <v>0</v>
      </c>
      <c r="CI39">
        <v>0</v>
      </c>
      <c r="CJ39">
        <v>0</v>
      </c>
      <c r="CK39">
        <v>15000</v>
      </c>
      <c r="CL39">
        <v>38000</v>
      </c>
      <c r="CM39">
        <v>38000</v>
      </c>
      <c r="CN39">
        <v>7200</v>
      </c>
      <c r="CO39">
        <v>0</v>
      </c>
      <c r="CP39">
        <v>0</v>
      </c>
      <c r="CQ39">
        <v>7200</v>
      </c>
      <c r="CR39">
        <v>7200</v>
      </c>
      <c r="CS39">
        <v>7200</v>
      </c>
      <c r="CT39">
        <v>0</v>
      </c>
      <c r="CU39">
        <v>7200</v>
      </c>
      <c r="CV39">
        <v>7200</v>
      </c>
      <c r="CW39">
        <v>7200</v>
      </c>
    </row>
    <row r="40" spans="1:101" x14ac:dyDescent="0.3">
      <c r="A40">
        <v>38</v>
      </c>
      <c r="B40">
        <v>25000</v>
      </c>
      <c r="C40">
        <v>79000</v>
      </c>
      <c r="D40">
        <v>7200</v>
      </c>
      <c r="E40">
        <v>0</v>
      </c>
      <c r="F40">
        <v>39000</v>
      </c>
      <c r="G40">
        <v>39000</v>
      </c>
      <c r="H40">
        <v>79000</v>
      </c>
      <c r="I40">
        <v>7200</v>
      </c>
      <c r="J40">
        <v>79000</v>
      </c>
      <c r="K40">
        <v>25000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25000</v>
      </c>
      <c r="S40">
        <v>39000</v>
      </c>
      <c r="T40">
        <v>39000</v>
      </c>
      <c r="U40">
        <v>7200</v>
      </c>
      <c r="V40">
        <v>0</v>
      </c>
      <c r="W40">
        <v>79000</v>
      </c>
      <c r="X40">
        <v>0</v>
      </c>
      <c r="Y40">
        <v>0</v>
      </c>
      <c r="Z40">
        <v>0</v>
      </c>
      <c r="AA40">
        <v>25000</v>
      </c>
      <c r="AB40">
        <v>0</v>
      </c>
      <c r="AC40">
        <v>7200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15000</v>
      </c>
      <c r="AK40">
        <v>15000</v>
      </c>
      <c r="AL40">
        <v>39000</v>
      </c>
      <c r="AM40">
        <v>39000</v>
      </c>
      <c r="AN40">
        <v>7200</v>
      </c>
      <c r="AO40">
        <v>15000</v>
      </c>
      <c r="AP40">
        <v>39000</v>
      </c>
      <c r="AQ40">
        <v>39000</v>
      </c>
      <c r="AR40">
        <v>0</v>
      </c>
      <c r="AS40">
        <v>0</v>
      </c>
      <c r="AT40">
        <v>79000</v>
      </c>
      <c r="AU40">
        <v>0</v>
      </c>
      <c r="AV40">
        <v>0</v>
      </c>
      <c r="AW40">
        <v>39000</v>
      </c>
      <c r="AX40">
        <v>5555.5555555555557</v>
      </c>
      <c r="AY40">
        <v>0</v>
      </c>
      <c r="AZ40">
        <v>0</v>
      </c>
      <c r="BA40">
        <v>7200</v>
      </c>
      <c r="BB40">
        <v>7200</v>
      </c>
      <c r="BC40">
        <v>0</v>
      </c>
      <c r="BD40">
        <v>79000</v>
      </c>
      <c r="BE40">
        <v>39000</v>
      </c>
      <c r="BF40">
        <v>7200</v>
      </c>
      <c r="BG40">
        <v>7200</v>
      </c>
      <c r="BH40">
        <v>79000</v>
      </c>
      <c r="BI40">
        <v>0</v>
      </c>
      <c r="BJ40">
        <v>15000</v>
      </c>
      <c r="BK40">
        <v>0</v>
      </c>
      <c r="BL40">
        <v>79000</v>
      </c>
      <c r="BM40">
        <v>39000</v>
      </c>
      <c r="BN40">
        <v>15000</v>
      </c>
      <c r="BO40">
        <v>0</v>
      </c>
      <c r="BP40">
        <v>39000</v>
      </c>
      <c r="BQ40">
        <v>39000</v>
      </c>
      <c r="BR40">
        <v>7200</v>
      </c>
      <c r="BS40">
        <v>0</v>
      </c>
      <c r="BT40">
        <v>0</v>
      </c>
      <c r="BU40">
        <v>0</v>
      </c>
      <c r="BV40">
        <v>79000</v>
      </c>
      <c r="BW40">
        <v>0</v>
      </c>
      <c r="BX40">
        <v>7200</v>
      </c>
      <c r="BY40">
        <v>7200</v>
      </c>
      <c r="BZ40">
        <v>0</v>
      </c>
      <c r="CA40">
        <v>7200</v>
      </c>
      <c r="CB40">
        <v>39000</v>
      </c>
      <c r="CC40">
        <v>7200</v>
      </c>
      <c r="CD40">
        <v>0</v>
      </c>
      <c r="CE40">
        <v>7200</v>
      </c>
      <c r="CF40">
        <v>0</v>
      </c>
      <c r="CG40">
        <v>39000</v>
      </c>
      <c r="CH40">
        <v>0</v>
      </c>
      <c r="CI40">
        <v>0</v>
      </c>
      <c r="CJ40">
        <v>0</v>
      </c>
      <c r="CK40">
        <v>0</v>
      </c>
      <c r="CL40">
        <v>39000</v>
      </c>
      <c r="CM40">
        <v>39000</v>
      </c>
      <c r="CN40">
        <v>7200</v>
      </c>
      <c r="CO40">
        <v>0</v>
      </c>
      <c r="CP40">
        <v>30000</v>
      </c>
      <c r="CQ40">
        <v>7200</v>
      </c>
      <c r="CR40">
        <v>7200</v>
      </c>
      <c r="CS40">
        <v>7200</v>
      </c>
      <c r="CT40">
        <v>0</v>
      </c>
      <c r="CU40">
        <v>7200</v>
      </c>
      <c r="CV40">
        <v>7200</v>
      </c>
      <c r="CW40">
        <v>7200</v>
      </c>
    </row>
    <row r="41" spans="1:101" x14ac:dyDescent="0.3">
      <c r="A41">
        <v>39</v>
      </c>
      <c r="B41">
        <v>25000</v>
      </c>
      <c r="C41">
        <v>80000</v>
      </c>
      <c r="D41">
        <v>7200</v>
      </c>
      <c r="E41">
        <v>0</v>
      </c>
      <c r="F41">
        <v>40000</v>
      </c>
      <c r="G41">
        <v>40000</v>
      </c>
      <c r="H41">
        <v>80000</v>
      </c>
      <c r="I41">
        <v>7200</v>
      </c>
      <c r="J41">
        <v>80000</v>
      </c>
      <c r="K41">
        <v>25000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25000</v>
      </c>
      <c r="S41">
        <v>40000</v>
      </c>
      <c r="T41">
        <v>40000</v>
      </c>
      <c r="U41">
        <v>7200</v>
      </c>
      <c r="V41">
        <v>0</v>
      </c>
      <c r="W41">
        <v>80000</v>
      </c>
      <c r="X41">
        <v>0</v>
      </c>
      <c r="Y41">
        <v>0</v>
      </c>
      <c r="Z41">
        <v>0</v>
      </c>
      <c r="AA41">
        <v>0</v>
      </c>
      <c r="AB41">
        <v>0</v>
      </c>
      <c r="AC41">
        <v>7200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15000</v>
      </c>
      <c r="AK41">
        <v>15000</v>
      </c>
      <c r="AL41">
        <v>40000</v>
      </c>
      <c r="AM41">
        <v>40000</v>
      </c>
      <c r="AN41">
        <v>7200</v>
      </c>
      <c r="AO41">
        <v>15000</v>
      </c>
      <c r="AP41">
        <v>40000</v>
      </c>
      <c r="AQ41">
        <v>40000</v>
      </c>
      <c r="AR41">
        <v>0</v>
      </c>
      <c r="AS41">
        <v>0</v>
      </c>
      <c r="AT41">
        <v>80000</v>
      </c>
      <c r="AU41">
        <v>0</v>
      </c>
      <c r="AV41">
        <v>0</v>
      </c>
      <c r="AW41">
        <v>40000</v>
      </c>
      <c r="AX41">
        <v>5555.5555555555557</v>
      </c>
      <c r="AY41">
        <v>0</v>
      </c>
      <c r="AZ41">
        <v>0</v>
      </c>
      <c r="BA41">
        <v>7200</v>
      </c>
      <c r="BB41">
        <v>7200</v>
      </c>
      <c r="BC41">
        <v>0</v>
      </c>
      <c r="BD41">
        <v>80000</v>
      </c>
      <c r="BE41">
        <v>40000</v>
      </c>
      <c r="BF41">
        <v>7200</v>
      </c>
      <c r="BG41">
        <v>7200</v>
      </c>
      <c r="BH41">
        <v>80000</v>
      </c>
      <c r="BI41">
        <v>0</v>
      </c>
      <c r="BJ41">
        <v>0</v>
      </c>
      <c r="BK41">
        <v>0</v>
      </c>
      <c r="BL41">
        <v>80000</v>
      </c>
      <c r="BM41">
        <v>40000</v>
      </c>
      <c r="BN41">
        <v>15000</v>
      </c>
      <c r="BO41">
        <v>0</v>
      </c>
      <c r="BP41">
        <v>40000</v>
      </c>
      <c r="BQ41">
        <v>40000</v>
      </c>
      <c r="BR41">
        <v>7200</v>
      </c>
      <c r="BS41">
        <v>0</v>
      </c>
      <c r="BT41">
        <v>0</v>
      </c>
      <c r="BU41">
        <v>0</v>
      </c>
      <c r="BV41">
        <v>80000</v>
      </c>
      <c r="BW41">
        <v>0</v>
      </c>
      <c r="BX41">
        <v>7200</v>
      </c>
      <c r="BY41">
        <v>7200</v>
      </c>
      <c r="BZ41">
        <v>0</v>
      </c>
      <c r="CA41">
        <v>7200</v>
      </c>
      <c r="CB41">
        <v>40000</v>
      </c>
      <c r="CC41">
        <v>7200</v>
      </c>
      <c r="CD41">
        <v>30000</v>
      </c>
      <c r="CE41">
        <v>7200</v>
      </c>
      <c r="CF41">
        <v>0</v>
      </c>
      <c r="CG41">
        <v>40000</v>
      </c>
      <c r="CH41">
        <v>0</v>
      </c>
      <c r="CI41">
        <v>0</v>
      </c>
      <c r="CJ41">
        <v>0</v>
      </c>
      <c r="CK41">
        <v>0</v>
      </c>
      <c r="CL41">
        <v>40000</v>
      </c>
      <c r="CM41">
        <v>40000</v>
      </c>
      <c r="CN41">
        <v>7200</v>
      </c>
      <c r="CO41">
        <v>7200</v>
      </c>
      <c r="CP41">
        <v>0</v>
      </c>
      <c r="CQ41">
        <v>7200</v>
      </c>
      <c r="CR41">
        <v>7200</v>
      </c>
      <c r="CS41">
        <v>7200</v>
      </c>
      <c r="CT41">
        <v>15000</v>
      </c>
      <c r="CU41">
        <v>7200</v>
      </c>
      <c r="CV41">
        <v>7200</v>
      </c>
      <c r="CW41">
        <v>7200</v>
      </c>
    </row>
    <row r="42" spans="1:101" x14ac:dyDescent="0.3">
      <c r="A42">
        <v>40</v>
      </c>
      <c r="B42">
        <v>25000</v>
      </c>
      <c r="C42">
        <v>81000</v>
      </c>
      <c r="D42">
        <v>7200</v>
      </c>
      <c r="E42">
        <v>0</v>
      </c>
      <c r="F42">
        <v>41000</v>
      </c>
      <c r="G42">
        <v>41000</v>
      </c>
      <c r="H42">
        <v>81000</v>
      </c>
      <c r="I42">
        <v>7200</v>
      </c>
      <c r="J42">
        <v>81000</v>
      </c>
      <c r="K42">
        <v>25000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41000</v>
      </c>
      <c r="T42">
        <v>41000</v>
      </c>
      <c r="U42">
        <v>7200</v>
      </c>
      <c r="V42">
        <v>0</v>
      </c>
      <c r="W42">
        <v>81000</v>
      </c>
      <c r="X42">
        <v>0</v>
      </c>
      <c r="Y42">
        <v>0</v>
      </c>
      <c r="Z42">
        <v>0</v>
      </c>
      <c r="AA42">
        <v>0</v>
      </c>
      <c r="AB42">
        <v>0</v>
      </c>
      <c r="AC42">
        <v>7200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15000</v>
      </c>
      <c r="AK42">
        <v>15000</v>
      </c>
      <c r="AL42">
        <v>41000</v>
      </c>
      <c r="AM42">
        <v>41000</v>
      </c>
      <c r="AO42">
        <v>15000</v>
      </c>
      <c r="AP42">
        <v>41000</v>
      </c>
      <c r="AQ42">
        <v>41000</v>
      </c>
      <c r="AR42">
        <v>0</v>
      </c>
      <c r="AS42">
        <v>0</v>
      </c>
      <c r="AT42">
        <v>81000</v>
      </c>
      <c r="AU42">
        <v>0</v>
      </c>
      <c r="AV42">
        <v>0</v>
      </c>
      <c r="AW42">
        <v>41000</v>
      </c>
      <c r="AX42">
        <v>5555.5555555555557</v>
      </c>
      <c r="AY42">
        <v>0</v>
      </c>
      <c r="AZ42">
        <v>0</v>
      </c>
      <c r="BA42">
        <v>7200</v>
      </c>
      <c r="BB42">
        <v>7200</v>
      </c>
      <c r="BC42">
        <v>0</v>
      </c>
      <c r="BD42">
        <v>81000</v>
      </c>
      <c r="BE42">
        <v>41000</v>
      </c>
      <c r="BF42">
        <v>7200</v>
      </c>
      <c r="BG42">
        <v>7200</v>
      </c>
      <c r="BH42">
        <v>81000</v>
      </c>
      <c r="BI42">
        <v>0</v>
      </c>
      <c r="BJ42">
        <v>0</v>
      </c>
      <c r="BK42">
        <v>0</v>
      </c>
      <c r="BL42">
        <v>81000</v>
      </c>
      <c r="BM42">
        <v>41000</v>
      </c>
      <c r="BN42">
        <v>15000</v>
      </c>
      <c r="BO42">
        <v>0</v>
      </c>
      <c r="BP42">
        <v>41000</v>
      </c>
      <c r="BQ42">
        <v>41000</v>
      </c>
      <c r="BR42">
        <v>7200</v>
      </c>
      <c r="BS42">
        <v>0</v>
      </c>
      <c r="BT42">
        <v>0</v>
      </c>
      <c r="BU42">
        <v>0</v>
      </c>
      <c r="BV42">
        <v>81000</v>
      </c>
      <c r="BW42">
        <v>0</v>
      </c>
      <c r="BX42">
        <v>7200</v>
      </c>
      <c r="BY42">
        <v>7200</v>
      </c>
      <c r="BZ42">
        <v>0</v>
      </c>
      <c r="CA42">
        <v>7200</v>
      </c>
      <c r="CB42">
        <v>41000</v>
      </c>
      <c r="CC42">
        <v>7200</v>
      </c>
      <c r="CD42">
        <v>0</v>
      </c>
      <c r="CE42">
        <v>7200</v>
      </c>
      <c r="CF42">
        <v>0</v>
      </c>
      <c r="CG42">
        <v>41000</v>
      </c>
      <c r="CH42">
        <v>0</v>
      </c>
      <c r="CI42">
        <v>0</v>
      </c>
      <c r="CJ42">
        <v>0</v>
      </c>
      <c r="CK42">
        <v>0</v>
      </c>
      <c r="CM42">
        <v>41000</v>
      </c>
      <c r="CN42">
        <v>7200</v>
      </c>
      <c r="CO42">
        <v>7200</v>
      </c>
      <c r="CP42">
        <v>30000</v>
      </c>
      <c r="CQ42">
        <v>7200</v>
      </c>
      <c r="CR42">
        <v>7200</v>
      </c>
      <c r="CS42">
        <v>7200</v>
      </c>
      <c r="CT42">
        <v>15000</v>
      </c>
      <c r="CU42">
        <v>7200</v>
      </c>
      <c r="CV42">
        <v>7200</v>
      </c>
      <c r="CW42">
        <v>7200</v>
      </c>
    </row>
    <row r="43" spans="1:101" x14ac:dyDescent="0.3">
      <c r="A43">
        <v>41</v>
      </c>
      <c r="B43">
        <v>25000</v>
      </c>
      <c r="C43">
        <v>82000</v>
      </c>
      <c r="D43">
        <v>7200</v>
      </c>
      <c r="E43">
        <v>0</v>
      </c>
      <c r="F43">
        <v>42000</v>
      </c>
      <c r="G43">
        <v>42000</v>
      </c>
      <c r="H43">
        <v>82000</v>
      </c>
      <c r="I43">
        <v>7200</v>
      </c>
      <c r="J43">
        <v>82000</v>
      </c>
      <c r="K43">
        <v>25000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42000</v>
      </c>
      <c r="T43">
        <v>42000</v>
      </c>
      <c r="U43">
        <v>7200</v>
      </c>
      <c r="V43">
        <v>0</v>
      </c>
      <c r="W43">
        <v>82000</v>
      </c>
      <c r="X43">
        <v>0</v>
      </c>
      <c r="Y43">
        <v>0</v>
      </c>
      <c r="Z43">
        <v>0</v>
      </c>
      <c r="AA43">
        <v>0</v>
      </c>
      <c r="AB43">
        <v>0</v>
      </c>
      <c r="AC43">
        <v>7200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15000</v>
      </c>
      <c r="AK43">
        <v>15000</v>
      </c>
      <c r="AL43">
        <v>42000</v>
      </c>
      <c r="AM43">
        <v>42000</v>
      </c>
      <c r="AP43">
        <v>42000</v>
      </c>
      <c r="AQ43">
        <v>42000</v>
      </c>
      <c r="AR43">
        <v>0</v>
      </c>
      <c r="AS43">
        <v>0</v>
      </c>
      <c r="AT43">
        <v>82000</v>
      </c>
      <c r="AU43">
        <v>0</v>
      </c>
      <c r="AV43">
        <v>0</v>
      </c>
      <c r="AW43">
        <v>42000</v>
      </c>
      <c r="AX43">
        <v>5555.5555555555557</v>
      </c>
      <c r="AY43">
        <v>0</v>
      </c>
      <c r="AZ43">
        <v>0</v>
      </c>
      <c r="BA43">
        <v>7200</v>
      </c>
      <c r="BB43">
        <v>7200</v>
      </c>
      <c r="BC43">
        <v>0</v>
      </c>
      <c r="BD43">
        <v>82000</v>
      </c>
      <c r="BE43">
        <v>42000</v>
      </c>
      <c r="BF43">
        <v>7200</v>
      </c>
      <c r="BG43">
        <v>7200</v>
      </c>
      <c r="BH43">
        <v>82000</v>
      </c>
      <c r="BI43">
        <v>0</v>
      </c>
      <c r="BJ43">
        <v>0</v>
      </c>
      <c r="BK43">
        <v>0</v>
      </c>
      <c r="BL43">
        <v>82000</v>
      </c>
      <c r="BM43">
        <v>42000</v>
      </c>
      <c r="BN43">
        <v>15000</v>
      </c>
      <c r="BO43">
        <v>0</v>
      </c>
      <c r="BP43">
        <v>42000</v>
      </c>
      <c r="BQ43">
        <v>42000</v>
      </c>
      <c r="BR43">
        <v>7200</v>
      </c>
      <c r="BS43">
        <v>0</v>
      </c>
      <c r="BT43">
        <v>0</v>
      </c>
      <c r="BU43">
        <v>0</v>
      </c>
      <c r="BV43">
        <v>82000</v>
      </c>
      <c r="BW43">
        <v>0</v>
      </c>
      <c r="BX43">
        <v>7200</v>
      </c>
      <c r="BY43">
        <v>7200</v>
      </c>
      <c r="BZ43">
        <v>0</v>
      </c>
      <c r="CA43">
        <v>7200</v>
      </c>
      <c r="CB43">
        <v>42000</v>
      </c>
      <c r="CC43">
        <v>7200</v>
      </c>
      <c r="CD43">
        <v>30000</v>
      </c>
      <c r="CE43">
        <v>7200</v>
      </c>
      <c r="CF43">
        <v>0</v>
      </c>
      <c r="CG43">
        <v>42000</v>
      </c>
      <c r="CH43">
        <v>0</v>
      </c>
      <c r="CI43">
        <v>0</v>
      </c>
      <c r="CJ43">
        <v>0</v>
      </c>
      <c r="CK43">
        <v>0</v>
      </c>
      <c r="CN43">
        <v>7200</v>
      </c>
      <c r="CO43">
        <v>7200</v>
      </c>
      <c r="CP43">
        <v>0</v>
      </c>
      <c r="CQ43">
        <v>7200</v>
      </c>
      <c r="CR43">
        <v>7200</v>
      </c>
      <c r="CS43">
        <v>7200</v>
      </c>
      <c r="CT43">
        <v>15000</v>
      </c>
      <c r="CU43">
        <v>7200</v>
      </c>
      <c r="CV43">
        <v>7200</v>
      </c>
      <c r="CW43">
        <v>7200</v>
      </c>
    </row>
    <row r="44" spans="1:101" x14ac:dyDescent="0.3">
      <c r="A44">
        <v>42</v>
      </c>
      <c r="B44">
        <v>25000</v>
      </c>
      <c r="C44">
        <v>83000</v>
      </c>
      <c r="D44">
        <v>7200</v>
      </c>
      <c r="E44">
        <v>0</v>
      </c>
      <c r="F44">
        <v>43000</v>
      </c>
      <c r="G44">
        <v>43000</v>
      </c>
      <c r="H44">
        <v>83000</v>
      </c>
      <c r="I44">
        <v>7200</v>
      </c>
      <c r="J44">
        <v>83000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43000</v>
      </c>
      <c r="T44">
        <v>43000</v>
      </c>
      <c r="U44">
        <v>7200</v>
      </c>
      <c r="V44">
        <v>0</v>
      </c>
      <c r="W44">
        <v>83000</v>
      </c>
      <c r="X44">
        <v>0</v>
      </c>
      <c r="Y44">
        <v>0</v>
      </c>
      <c r="Z44">
        <v>0</v>
      </c>
      <c r="AA44">
        <v>0</v>
      </c>
      <c r="AB44">
        <v>0</v>
      </c>
      <c r="AC44">
        <v>7200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15000</v>
      </c>
      <c r="AL44">
        <v>43000</v>
      </c>
      <c r="AM44">
        <v>43000</v>
      </c>
      <c r="AP44">
        <v>43000</v>
      </c>
      <c r="AQ44">
        <v>43000</v>
      </c>
      <c r="AR44">
        <v>0</v>
      </c>
      <c r="AS44">
        <v>0</v>
      </c>
      <c r="AT44">
        <v>83000</v>
      </c>
      <c r="AU44">
        <v>0</v>
      </c>
      <c r="AV44">
        <v>0</v>
      </c>
      <c r="AW44">
        <v>43000</v>
      </c>
      <c r="AX44">
        <v>5555.5555555555557</v>
      </c>
      <c r="AY44">
        <v>0</v>
      </c>
      <c r="AZ44">
        <v>0</v>
      </c>
      <c r="BA44">
        <v>7200</v>
      </c>
      <c r="BB44">
        <v>7200</v>
      </c>
      <c r="BC44">
        <v>0</v>
      </c>
      <c r="BD44">
        <v>83000</v>
      </c>
      <c r="BE44">
        <v>43000</v>
      </c>
      <c r="BF44">
        <v>7200</v>
      </c>
      <c r="BG44">
        <v>7200</v>
      </c>
      <c r="BH44">
        <v>83000</v>
      </c>
      <c r="BI44">
        <v>0</v>
      </c>
      <c r="BJ44">
        <v>0</v>
      </c>
      <c r="BK44">
        <v>0</v>
      </c>
      <c r="BL44">
        <v>83000</v>
      </c>
      <c r="BM44">
        <v>43000</v>
      </c>
      <c r="BN44">
        <v>15000</v>
      </c>
      <c r="BO44">
        <v>0</v>
      </c>
      <c r="BP44">
        <v>43000</v>
      </c>
      <c r="BQ44">
        <v>43000</v>
      </c>
      <c r="BR44">
        <v>7200</v>
      </c>
      <c r="BS44">
        <v>0</v>
      </c>
      <c r="BT44">
        <v>0</v>
      </c>
      <c r="BU44">
        <v>0</v>
      </c>
      <c r="BV44">
        <v>83000</v>
      </c>
      <c r="BX44">
        <v>7200</v>
      </c>
      <c r="BY44">
        <v>7200</v>
      </c>
      <c r="BZ44">
        <v>0</v>
      </c>
      <c r="CA44">
        <v>7200</v>
      </c>
      <c r="CB44">
        <v>43000</v>
      </c>
      <c r="CC44">
        <v>7200</v>
      </c>
      <c r="CD44">
        <v>0</v>
      </c>
      <c r="CE44">
        <v>7200</v>
      </c>
      <c r="CF44">
        <v>0</v>
      </c>
      <c r="CG44">
        <v>43000</v>
      </c>
      <c r="CH44">
        <v>0</v>
      </c>
      <c r="CI44">
        <v>0</v>
      </c>
      <c r="CJ44">
        <v>0</v>
      </c>
      <c r="CK44">
        <v>0</v>
      </c>
      <c r="CN44">
        <v>7200</v>
      </c>
      <c r="CP44">
        <v>30000</v>
      </c>
      <c r="CQ44">
        <v>7200</v>
      </c>
      <c r="CR44">
        <v>7200</v>
      </c>
      <c r="CT44">
        <v>15000</v>
      </c>
      <c r="CU44">
        <v>7200</v>
      </c>
      <c r="CV44">
        <v>7200</v>
      </c>
      <c r="CW44">
        <v>7200</v>
      </c>
    </row>
    <row r="45" spans="1:101" x14ac:dyDescent="0.3">
      <c r="A45">
        <v>43</v>
      </c>
      <c r="B45">
        <v>25000</v>
      </c>
      <c r="C45">
        <v>84000</v>
      </c>
      <c r="D45">
        <v>7200</v>
      </c>
      <c r="E45">
        <v>0</v>
      </c>
      <c r="F45">
        <v>44000</v>
      </c>
      <c r="G45">
        <v>44000</v>
      </c>
      <c r="H45">
        <v>84000</v>
      </c>
      <c r="I45">
        <v>7200</v>
      </c>
      <c r="J45">
        <v>84000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44000</v>
      </c>
      <c r="T45">
        <v>44000</v>
      </c>
      <c r="U45">
        <v>7200</v>
      </c>
      <c r="V45">
        <v>0</v>
      </c>
      <c r="W45">
        <v>84000</v>
      </c>
      <c r="X45">
        <v>0</v>
      </c>
      <c r="Y45">
        <v>0</v>
      </c>
      <c r="Z45">
        <v>0</v>
      </c>
      <c r="AA45">
        <v>0</v>
      </c>
      <c r="AB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15000</v>
      </c>
      <c r="AL45">
        <v>44000</v>
      </c>
      <c r="AP45">
        <v>44000</v>
      </c>
      <c r="AQ45">
        <v>44000</v>
      </c>
      <c r="AR45">
        <v>0</v>
      </c>
      <c r="AS45">
        <v>0</v>
      </c>
      <c r="AT45">
        <v>84000</v>
      </c>
      <c r="AU45">
        <v>0</v>
      </c>
      <c r="AV45">
        <v>0</v>
      </c>
      <c r="AW45">
        <v>44000</v>
      </c>
      <c r="AX45">
        <v>5555.5555555555557</v>
      </c>
      <c r="AY45">
        <v>0</v>
      </c>
      <c r="AZ45">
        <v>0</v>
      </c>
      <c r="BA45">
        <v>7200</v>
      </c>
      <c r="BB45">
        <v>7200</v>
      </c>
      <c r="BC45">
        <v>0</v>
      </c>
      <c r="BD45">
        <v>84000</v>
      </c>
      <c r="BE45">
        <v>44000</v>
      </c>
      <c r="BF45">
        <v>7200</v>
      </c>
      <c r="BG45">
        <v>7200</v>
      </c>
      <c r="BH45">
        <v>84000</v>
      </c>
      <c r="BI45">
        <v>0</v>
      </c>
      <c r="BJ45">
        <v>0</v>
      </c>
      <c r="BK45">
        <v>0</v>
      </c>
      <c r="BL45">
        <v>84000</v>
      </c>
      <c r="BM45">
        <v>44000</v>
      </c>
      <c r="BN45">
        <v>15000</v>
      </c>
      <c r="BO45">
        <v>0</v>
      </c>
      <c r="BP45">
        <v>44000</v>
      </c>
      <c r="BQ45">
        <v>44000</v>
      </c>
      <c r="BR45">
        <v>7200</v>
      </c>
      <c r="BS45">
        <v>0</v>
      </c>
      <c r="BT45">
        <v>0</v>
      </c>
      <c r="BU45">
        <v>0</v>
      </c>
      <c r="BV45">
        <v>84000</v>
      </c>
      <c r="BX45">
        <v>7200</v>
      </c>
      <c r="BY45">
        <v>7200</v>
      </c>
      <c r="BZ45">
        <v>0</v>
      </c>
      <c r="CA45">
        <v>7200</v>
      </c>
      <c r="CB45">
        <v>44000</v>
      </c>
      <c r="CC45">
        <v>7200</v>
      </c>
      <c r="CD45">
        <v>30000</v>
      </c>
      <c r="CE45">
        <v>7200</v>
      </c>
      <c r="CF45">
        <v>0</v>
      </c>
      <c r="CG45">
        <v>44000</v>
      </c>
      <c r="CH45">
        <v>0</v>
      </c>
      <c r="CI45">
        <v>0</v>
      </c>
      <c r="CJ45">
        <v>0</v>
      </c>
      <c r="CK45">
        <v>0</v>
      </c>
      <c r="CN45">
        <v>7200</v>
      </c>
      <c r="CP45">
        <v>0</v>
      </c>
      <c r="CQ45">
        <v>7200</v>
      </c>
      <c r="CR45">
        <v>7200</v>
      </c>
      <c r="CT45">
        <v>15000</v>
      </c>
      <c r="CU45">
        <v>7200</v>
      </c>
      <c r="CV45">
        <v>7200</v>
      </c>
      <c r="CW45">
        <v>7200</v>
      </c>
    </row>
    <row r="46" spans="1:101" x14ac:dyDescent="0.3">
      <c r="A46">
        <v>44</v>
      </c>
      <c r="B46">
        <v>25000</v>
      </c>
      <c r="C46">
        <v>85000</v>
      </c>
      <c r="D46">
        <v>7200</v>
      </c>
      <c r="E46">
        <v>0</v>
      </c>
      <c r="F46">
        <v>45000</v>
      </c>
      <c r="G46">
        <v>45000</v>
      </c>
      <c r="H46">
        <v>85000</v>
      </c>
      <c r="I46">
        <v>7200</v>
      </c>
      <c r="J46">
        <v>85000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45000</v>
      </c>
      <c r="T46">
        <v>45000</v>
      </c>
      <c r="U46">
        <v>7200</v>
      </c>
      <c r="V46">
        <v>0</v>
      </c>
      <c r="W46">
        <v>85000</v>
      </c>
      <c r="X46">
        <v>0</v>
      </c>
      <c r="Y46">
        <v>0</v>
      </c>
      <c r="Z46">
        <v>0</v>
      </c>
      <c r="AA46">
        <v>0</v>
      </c>
      <c r="AB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15000</v>
      </c>
      <c r="AL46">
        <v>45000</v>
      </c>
      <c r="AP46">
        <v>45000</v>
      </c>
      <c r="AQ46">
        <v>45000</v>
      </c>
      <c r="AR46">
        <v>0</v>
      </c>
      <c r="AS46">
        <v>0</v>
      </c>
      <c r="AT46">
        <v>85000</v>
      </c>
      <c r="AU46">
        <v>0</v>
      </c>
      <c r="AV46">
        <v>0</v>
      </c>
      <c r="AW46">
        <v>45000</v>
      </c>
      <c r="AX46">
        <v>5555.5555555555557</v>
      </c>
      <c r="AY46">
        <v>0</v>
      </c>
      <c r="AZ46">
        <v>0</v>
      </c>
      <c r="BB46">
        <v>7200</v>
      </c>
      <c r="BC46">
        <v>0</v>
      </c>
      <c r="BD46">
        <v>85000</v>
      </c>
      <c r="BE46">
        <v>45000</v>
      </c>
      <c r="BF46">
        <v>7200</v>
      </c>
      <c r="BG46">
        <v>7200</v>
      </c>
      <c r="BH46">
        <v>85000</v>
      </c>
      <c r="BI46">
        <v>0</v>
      </c>
      <c r="BJ46">
        <v>0</v>
      </c>
      <c r="BK46">
        <v>0</v>
      </c>
      <c r="BL46">
        <v>85000</v>
      </c>
      <c r="BM46">
        <v>45000</v>
      </c>
      <c r="BN46">
        <v>15000</v>
      </c>
      <c r="BO46">
        <v>0</v>
      </c>
      <c r="BP46">
        <v>45000</v>
      </c>
      <c r="BQ46">
        <v>45000</v>
      </c>
      <c r="BR46">
        <v>7200</v>
      </c>
      <c r="BS46">
        <v>0</v>
      </c>
      <c r="BT46">
        <v>0</v>
      </c>
      <c r="BU46">
        <v>0</v>
      </c>
      <c r="BV46">
        <v>85000</v>
      </c>
      <c r="BX46">
        <v>7200</v>
      </c>
      <c r="BY46">
        <v>7200</v>
      </c>
      <c r="BZ46">
        <v>0</v>
      </c>
      <c r="CA46">
        <v>7200</v>
      </c>
      <c r="CB46">
        <v>45000</v>
      </c>
      <c r="CD46">
        <v>0</v>
      </c>
      <c r="CE46">
        <v>7200</v>
      </c>
      <c r="CF46">
        <v>0</v>
      </c>
      <c r="CG46">
        <v>45000</v>
      </c>
      <c r="CH46">
        <v>0</v>
      </c>
      <c r="CI46">
        <v>0</v>
      </c>
      <c r="CJ46">
        <v>0</v>
      </c>
      <c r="CK46">
        <v>0</v>
      </c>
      <c r="CN46">
        <v>7200</v>
      </c>
      <c r="CP46">
        <v>30000</v>
      </c>
      <c r="CQ46">
        <v>7200</v>
      </c>
      <c r="CR46">
        <v>7200</v>
      </c>
      <c r="CT46">
        <v>15000</v>
      </c>
      <c r="CU46">
        <v>7200</v>
      </c>
      <c r="CV46">
        <v>7200</v>
      </c>
      <c r="CW46">
        <v>7200</v>
      </c>
    </row>
    <row r="47" spans="1:101" x14ac:dyDescent="0.3">
      <c r="A47">
        <v>45</v>
      </c>
      <c r="B47">
        <v>0</v>
      </c>
      <c r="C47">
        <v>86000</v>
      </c>
      <c r="D47">
        <v>7200</v>
      </c>
      <c r="E47">
        <v>0</v>
      </c>
      <c r="F47">
        <v>46000</v>
      </c>
      <c r="G47">
        <v>46000</v>
      </c>
      <c r="H47">
        <v>86000</v>
      </c>
      <c r="I47">
        <v>7200</v>
      </c>
      <c r="J47">
        <v>86000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46000</v>
      </c>
      <c r="T47">
        <v>46000</v>
      </c>
      <c r="U47">
        <v>7200</v>
      </c>
      <c r="V47">
        <v>0</v>
      </c>
      <c r="W47">
        <v>86000</v>
      </c>
      <c r="X47">
        <v>0</v>
      </c>
      <c r="Y47">
        <v>0</v>
      </c>
      <c r="Z47">
        <v>0</v>
      </c>
      <c r="AA47">
        <v>0</v>
      </c>
      <c r="AB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15000</v>
      </c>
      <c r="AL47">
        <v>46000</v>
      </c>
      <c r="AP47">
        <v>46000</v>
      </c>
      <c r="AQ47">
        <v>46000</v>
      </c>
      <c r="AR47">
        <v>0</v>
      </c>
      <c r="AS47">
        <v>0</v>
      </c>
      <c r="AT47">
        <v>86000</v>
      </c>
      <c r="AU47">
        <v>0</v>
      </c>
      <c r="AV47">
        <v>0</v>
      </c>
      <c r="AW47">
        <v>46000</v>
      </c>
      <c r="AX47">
        <v>5555.5555555555557</v>
      </c>
      <c r="AY47">
        <v>0</v>
      </c>
      <c r="AZ47">
        <v>0</v>
      </c>
      <c r="BB47">
        <v>7200</v>
      </c>
      <c r="BC47">
        <v>0</v>
      </c>
      <c r="BD47">
        <v>86000</v>
      </c>
      <c r="BE47">
        <v>46000</v>
      </c>
      <c r="BF47">
        <v>7200</v>
      </c>
      <c r="BG47">
        <v>7200</v>
      </c>
      <c r="BH47">
        <v>86000</v>
      </c>
      <c r="BI47">
        <v>0</v>
      </c>
      <c r="BJ47">
        <v>0</v>
      </c>
      <c r="BK47">
        <v>0</v>
      </c>
      <c r="BL47">
        <v>86000</v>
      </c>
      <c r="BM47">
        <v>46000</v>
      </c>
      <c r="BN47">
        <v>0</v>
      </c>
      <c r="BO47">
        <v>0</v>
      </c>
      <c r="BP47">
        <v>46000</v>
      </c>
      <c r="BQ47">
        <v>46000</v>
      </c>
      <c r="BR47">
        <v>7200</v>
      </c>
      <c r="BS47">
        <v>0</v>
      </c>
      <c r="BT47">
        <v>0</v>
      </c>
      <c r="BU47">
        <v>0</v>
      </c>
      <c r="BV47">
        <v>86000</v>
      </c>
      <c r="BX47">
        <v>7200</v>
      </c>
      <c r="BY47">
        <v>7200</v>
      </c>
      <c r="BZ47">
        <v>0</v>
      </c>
      <c r="CA47">
        <v>7200</v>
      </c>
      <c r="CB47">
        <v>46000</v>
      </c>
      <c r="CD47">
        <v>0</v>
      </c>
      <c r="CE47">
        <v>7200</v>
      </c>
      <c r="CF47">
        <v>0</v>
      </c>
      <c r="CG47">
        <v>46000</v>
      </c>
      <c r="CH47">
        <v>0</v>
      </c>
      <c r="CI47">
        <v>0</v>
      </c>
      <c r="CJ47">
        <v>0</v>
      </c>
      <c r="CK47">
        <v>0</v>
      </c>
      <c r="CN47">
        <v>7200</v>
      </c>
      <c r="CP47">
        <v>0</v>
      </c>
      <c r="CQ47">
        <v>7200</v>
      </c>
      <c r="CR47">
        <v>7200</v>
      </c>
      <c r="CU47">
        <v>7200</v>
      </c>
      <c r="CV47">
        <v>7200</v>
      </c>
      <c r="CW47">
        <v>7200</v>
      </c>
    </row>
    <row r="48" spans="1:101" x14ac:dyDescent="0.3">
      <c r="A48">
        <v>46</v>
      </c>
      <c r="B48">
        <v>0</v>
      </c>
      <c r="C48">
        <v>87000</v>
      </c>
      <c r="D48">
        <v>7200</v>
      </c>
      <c r="E48">
        <v>0</v>
      </c>
      <c r="F48">
        <v>47000</v>
      </c>
      <c r="G48">
        <v>47000</v>
      </c>
      <c r="I48">
        <v>7200</v>
      </c>
      <c r="J48">
        <v>87000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47000</v>
      </c>
      <c r="T48">
        <v>47000</v>
      </c>
      <c r="U48">
        <v>7200</v>
      </c>
      <c r="V48">
        <v>0</v>
      </c>
      <c r="W48">
        <v>87000</v>
      </c>
      <c r="X48">
        <v>0</v>
      </c>
      <c r="Y48">
        <v>0</v>
      </c>
      <c r="Z48">
        <v>0</v>
      </c>
      <c r="AA48">
        <v>0</v>
      </c>
      <c r="AB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15000</v>
      </c>
      <c r="AL48">
        <v>47000</v>
      </c>
      <c r="AP48">
        <v>47000</v>
      </c>
      <c r="AQ48">
        <v>47000</v>
      </c>
      <c r="AR48">
        <v>0</v>
      </c>
      <c r="AS48">
        <v>0</v>
      </c>
      <c r="AT48">
        <v>87000</v>
      </c>
      <c r="AU48">
        <v>0</v>
      </c>
      <c r="AV48">
        <v>0</v>
      </c>
      <c r="AW48">
        <v>47000</v>
      </c>
      <c r="AX48">
        <v>5555.5555555555557</v>
      </c>
      <c r="AY48">
        <v>0</v>
      </c>
      <c r="AZ48">
        <v>0</v>
      </c>
      <c r="BB48">
        <v>7200</v>
      </c>
      <c r="BC48">
        <v>0</v>
      </c>
      <c r="BD48">
        <v>87000</v>
      </c>
      <c r="BE48">
        <v>47000</v>
      </c>
      <c r="BF48">
        <v>7200</v>
      </c>
      <c r="BG48">
        <v>7200</v>
      </c>
      <c r="BH48">
        <v>87000</v>
      </c>
      <c r="BI48">
        <v>0</v>
      </c>
      <c r="BJ48">
        <v>0</v>
      </c>
      <c r="BK48">
        <v>0</v>
      </c>
      <c r="BL48">
        <v>87000</v>
      </c>
      <c r="BM48">
        <v>47000</v>
      </c>
      <c r="BN48">
        <v>0</v>
      </c>
      <c r="BO48">
        <v>0</v>
      </c>
      <c r="BP48">
        <v>47000</v>
      </c>
      <c r="BQ48">
        <v>47000</v>
      </c>
      <c r="BR48">
        <v>7200</v>
      </c>
      <c r="BS48">
        <v>0</v>
      </c>
      <c r="BT48">
        <v>0</v>
      </c>
      <c r="BU48">
        <v>0</v>
      </c>
      <c r="BV48">
        <v>87000</v>
      </c>
      <c r="BX48">
        <v>7200</v>
      </c>
      <c r="BY48">
        <v>7200</v>
      </c>
      <c r="BZ48">
        <v>0</v>
      </c>
      <c r="CA48">
        <v>7200</v>
      </c>
      <c r="CB48">
        <v>47000</v>
      </c>
      <c r="CD48">
        <v>0</v>
      </c>
      <c r="CE48">
        <v>7200</v>
      </c>
      <c r="CF48">
        <v>0</v>
      </c>
      <c r="CG48">
        <v>47000</v>
      </c>
      <c r="CH48">
        <v>0</v>
      </c>
      <c r="CI48">
        <v>0</v>
      </c>
      <c r="CJ48">
        <v>0</v>
      </c>
      <c r="CK48">
        <v>0</v>
      </c>
      <c r="CN48">
        <v>7200</v>
      </c>
      <c r="CP48">
        <v>0</v>
      </c>
      <c r="CQ48">
        <v>7200</v>
      </c>
      <c r="CR48">
        <v>7200</v>
      </c>
      <c r="CU48">
        <v>7200</v>
      </c>
      <c r="CV48">
        <v>7200</v>
      </c>
      <c r="CW48">
        <v>7200</v>
      </c>
    </row>
    <row r="49" spans="1:101" x14ac:dyDescent="0.3">
      <c r="A49">
        <v>47</v>
      </c>
      <c r="B49">
        <v>0</v>
      </c>
      <c r="C49">
        <v>88000</v>
      </c>
      <c r="D49">
        <v>7200</v>
      </c>
      <c r="E49">
        <v>0</v>
      </c>
      <c r="F49">
        <v>48000</v>
      </c>
      <c r="I49">
        <v>7200</v>
      </c>
      <c r="J49">
        <v>88000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48000</v>
      </c>
      <c r="T49">
        <v>48000</v>
      </c>
      <c r="U49">
        <v>7200</v>
      </c>
      <c r="V49">
        <v>0</v>
      </c>
      <c r="W49">
        <v>88000</v>
      </c>
      <c r="X49">
        <v>0</v>
      </c>
      <c r="Y49">
        <v>0</v>
      </c>
      <c r="Z49">
        <v>0</v>
      </c>
      <c r="AA49">
        <v>0</v>
      </c>
      <c r="AB49">
        <v>0</v>
      </c>
      <c r="AD49">
        <v>0</v>
      </c>
      <c r="AE49">
        <v>0</v>
      </c>
      <c r="AF49">
        <v>0</v>
      </c>
      <c r="AH49">
        <v>0</v>
      </c>
      <c r="AI49">
        <v>0</v>
      </c>
      <c r="AL49">
        <v>48000</v>
      </c>
      <c r="AP49">
        <v>48000</v>
      </c>
      <c r="AQ49">
        <v>48000</v>
      </c>
      <c r="AR49">
        <v>0</v>
      </c>
      <c r="AS49">
        <v>0</v>
      </c>
      <c r="AT49">
        <v>88000</v>
      </c>
      <c r="AU49">
        <v>0</v>
      </c>
      <c r="AV49">
        <v>0</v>
      </c>
      <c r="AW49">
        <v>48000</v>
      </c>
      <c r="AX49">
        <v>5555.5555555555557</v>
      </c>
      <c r="AY49">
        <v>0</v>
      </c>
      <c r="AZ49">
        <v>0</v>
      </c>
      <c r="BB49">
        <v>7200</v>
      </c>
      <c r="BC49">
        <v>0</v>
      </c>
      <c r="BD49">
        <v>88000</v>
      </c>
      <c r="BE49">
        <v>48000</v>
      </c>
      <c r="BG49">
        <v>7200</v>
      </c>
      <c r="BH49">
        <v>88000</v>
      </c>
      <c r="BI49">
        <v>0</v>
      </c>
      <c r="BJ49">
        <v>0</v>
      </c>
      <c r="BK49">
        <v>0</v>
      </c>
      <c r="BL49">
        <v>88000</v>
      </c>
      <c r="BM49">
        <v>48000</v>
      </c>
      <c r="BN49">
        <v>0</v>
      </c>
      <c r="BO49">
        <v>0</v>
      </c>
      <c r="BP49">
        <v>48000</v>
      </c>
      <c r="BQ49">
        <v>48000</v>
      </c>
      <c r="BR49">
        <v>7200</v>
      </c>
      <c r="BS49">
        <v>0</v>
      </c>
      <c r="BT49">
        <v>0</v>
      </c>
      <c r="BU49">
        <v>0</v>
      </c>
      <c r="BV49">
        <v>88000</v>
      </c>
      <c r="BX49">
        <v>7200</v>
      </c>
      <c r="BY49">
        <v>7200</v>
      </c>
      <c r="BZ49">
        <v>0</v>
      </c>
      <c r="CA49">
        <v>7200</v>
      </c>
      <c r="CB49">
        <v>48000</v>
      </c>
      <c r="CD49">
        <v>0</v>
      </c>
      <c r="CE49">
        <v>7200</v>
      </c>
      <c r="CF49">
        <v>0</v>
      </c>
      <c r="CG49">
        <v>48000</v>
      </c>
      <c r="CH49">
        <v>0</v>
      </c>
      <c r="CI49">
        <v>0</v>
      </c>
      <c r="CJ49">
        <v>0</v>
      </c>
      <c r="CQ49">
        <v>7200</v>
      </c>
      <c r="CR49">
        <v>7200</v>
      </c>
      <c r="CU49">
        <v>7200</v>
      </c>
      <c r="CV49">
        <v>7200</v>
      </c>
      <c r="CW49">
        <v>7200</v>
      </c>
    </row>
    <row r="50" spans="1:101" x14ac:dyDescent="0.3">
      <c r="A50">
        <v>48</v>
      </c>
      <c r="B50">
        <v>0</v>
      </c>
      <c r="C50">
        <v>89000</v>
      </c>
      <c r="D50">
        <v>7200</v>
      </c>
      <c r="E50">
        <v>0</v>
      </c>
      <c r="F50">
        <v>49000</v>
      </c>
      <c r="I50">
        <v>7200</v>
      </c>
      <c r="J50">
        <v>89000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49000</v>
      </c>
      <c r="T50">
        <v>49000</v>
      </c>
      <c r="U50">
        <v>7200</v>
      </c>
      <c r="V50">
        <v>0</v>
      </c>
      <c r="W50">
        <v>89000</v>
      </c>
      <c r="X50">
        <v>0</v>
      </c>
      <c r="Y50">
        <v>0</v>
      </c>
      <c r="Z50">
        <v>0</v>
      </c>
      <c r="AA50">
        <v>0</v>
      </c>
      <c r="AB50">
        <v>0</v>
      </c>
      <c r="AD50">
        <v>0</v>
      </c>
      <c r="AE50">
        <v>0</v>
      </c>
      <c r="AF50">
        <v>0</v>
      </c>
      <c r="AH50">
        <v>0</v>
      </c>
      <c r="AI50">
        <v>0</v>
      </c>
      <c r="AL50">
        <v>49000</v>
      </c>
      <c r="AP50">
        <v>49000</v>
      </c>
      <c r="AQ50">
        <v>49000</v>
      </c>
      <c r="AR50">
        <v>0</v>
      </c>
      <c r="AS50">
        <v>0</v>
      </c>
      <c r="AT50">
        <v>89000</v>
      </c>
      <c r="AU50">
        <v>0</v>
      </c>
      <c r="AV50">
        <v>0</v>
      </c>
      <c r="AW50">
        <v>49000</v>
      </c>
      <c r="AX50">
        <v>5555.5555555555557</v>
      </c>
      <c r="AY50">
        <v>0</v>
      </c>
      <c r="AZ50">
        <v>0</v>
      </c>
      <c r="BB50">
        <v>7200</v>
      </c>
      <c r="BC50">
        <v>0</v>
      </c>
      <c r="BD50">
        <v>89000</v>
      </c>
      <c r="BE50">
        <v>49000</v>
      </c>
      <c r="BG50">
        <v>7200</v>
      </c>
      <c r="BH50">
        <v>89000</v>
      </c>
      <c r="BI50">
        <v>0</v>
      </c>
      <c r="BJ50">
        <v>0</v>
      </c>
      <c r="BK50">
        <v>0</v>
      </c>
      <c r="BL50">
        <v>89000</v>
      </c>
      <c r="BM50">
        <v>49000</v>
      </c>
      <c r="BN50">
        <v>0</v>
      </c>
      <c r="BO50">
        <v>0</v>
      </c>
      <c r="BP50">
        <v>49000</v>
      </c>
      <c r="BQ50">
        <v>49000</v>
      </c>
      <c r="BR50">
        <v>7200</v>
      </c>
      <c r="BS50">
        <v>0</v>
      </c>
      <c r="BT50">
        <v>0</v>
      </c>
      <c r="BU50">
        <v>0</v>
      </c>
      <c r="BV50">
        <v>89000</v>
      </c>
      <c r="BX50">
        <v>7200</v>
      </c>
      <c r="BY50">
        <v>7200</v>
      </c>
      <c r="BZ50">
        <v>0</v>
      </c>
      <c r="CA50">
        <v>7200</v>
      </c>
      <c r="CB50">
        <v>49000</v>
      </c>
      <c r="CE50">
        <v>7200</v>
      </c>
      <c r="CF50">
        <v>0</v>
      </c>
      <c r="CG50">
        <v>49000</v>
      </c>
      <c r="CH50">
        <v>0</v>
      </c>
      <c r="CI50">
        <v>0</v>
      </c>
      <c r="CJ50">
        <v>0</v>
      </c>
      <c r="CQ50">
        <v>7200</v>
      </c>
      <c r="CR50">
        <v>7200</v>
      </c>
      <c r="CU50">
        <v>7200</v>
      </c>
      <c r="CV50">
        <v>7200</v>
      </c>
      <c r="CW50">
        <v>7200</v>
      </c>
    </row>
    <row r="51" spans="1:101" x14ac:dyDescent="0.3">
      <c r="A51">
        <v>49</v>
      </c>
      <c r="B51">
        <v>0</v>
      </c>
      <c r="C51">
        <v>90000</v>
      </c>
      <c r="D51">
        <v>7200</v>
      </c>
      <c r="E51">
        <v>0</v>
      </c>
      <c r="F51">
        <v>50000</v>
      </c>
      <c r="I51">
        <v>7200</v>
      </c>
      <c r="J51">
        <v>90000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50000</v>
      </c>
      <c r="T51">
        <v>50000</v>
      </c>
      <c r="U51">
        <v>7200</v>
      </c>
      <c r="V51">
        <v>0</v>
      </c>
      <c r="W51">
        <v>90000</v>
      </c>
      <c r="X51">
        <v>0</v>
      </c>
      <c r="Y51">
        <v>0</v>
      </c>
      <c r="Z51">
        <v>0</v>
      </c>
      <c r="AA51">
        <v>0</v>
      </c>
      <c r="AB51">
        <v>0</v>
      </c>
      <c r="AD51">
        <v>0</v>
      </c>
      <c r="AE51">
        <v>0</v>
      </c>
      <c r="AF51">
        <v>0</v>
      </c>
      <c r="AH51">
        <v>0</v>
      </c>
      <c r="AI51">
        <v>0</v>
      </c>
      <c r="AL51">
        <v>50000</v>
      </c>
      <c r="AP51">
        <v>50000</v>
      </c>
      <c r="AQ51">
        <v>50000</v>
      </c>
      <c r="AR51">
        <v>0</v>
      </c>
      <c r="AS51">
        <v>0</v>
      </c>
      <c r="AT51">
        <v>90000</v>
      </c>
      <c r="AU51">
        <v>0</v>
      </c>
      <c r="AV51">
        <v>0</v>
      </c>
      <c r="AW51">
        <v>50000</v>
      </c>
      <c r="AX51">
        <v>5555.5555555555557</v>
      </c>
      <c r="AY51">
        <v>0</v>
      </c>
      <c r="AZ51">
        <v>0</v>
      </c>
      <c r="BB51">
        <v>7200</v>
      </c>
      <c r="BC51">
        <v>0</v>
      </c>
      <c r="BD51">
        <v>90000</v>
      </c>
      <c r="BE51">
        <v>50000</v>
      </c>
      <c r="BG51">
        <v>7200</v>
      </c>
      <c r="BH51">
        <v>90000</v>
      </c>
      <c r="BI51">
        <v>0</v>
      </c>
      <c r="BJ51">
        <v>0</v>
      </c>
      <c r="BK51">
        <v>0</v>
      </c>
      <c r="BL51">
        <v>90000</v>
      </c>
      <c r="BM51">
        <v>50000</v>
      </c>
      <c r="BN51">
        <v>0</v>
      </c>
      <c r="BO51">
        <v>0</v>
      </c>
      <c r="BP51">
        <v>50000</v>
      </c>
      <c r="BQ51">
        <v>50000</v>
      </c>
      <c r="BR51">
        <v>7200</v>
      </c>
      <c r="BS51">
        <v>0</v>
      </c>
      <c r="BT51">
        <v>0</v>
      </c>
      <c r="BU51">
        <v>0</v>
      </c>
      <c r="BV51">
        <v>90000</v>
      </c>
      <c r="BX51">
        <v>7200</v>
      </c>
      <c r="BY51">
        <v>7200</v>
      </c>
      <c r="BZ51">
        <v>0</v>
      </c>
      <c r="CA51">
        <v>7200</v>
      </c>
      <c r="CB51">
        <v>50000</v>
      </c>
      <c r="CE51">
        <v>7200</v>
      </c>
      <c r="CF51">
        <v>0</v>
      </c>
      <c r="CG51">
        <v>50000</v>
      </c>
      <c r="CH51">
        <v>0</v>
      </c>
      <c r="CI51">
        <v>0</v>
      </c>
      <c r="CJ51">
        <v>0</v>
      </c>
      <c r="CQ51">
        <v>7200</v>
      </c>
      <c r="CR51">
        <v>7200</v>
      </c>
      <c r="CU51">
        <v>7200</v>
      </c>
      <c r="CV51">
        <v>7200</v>
      </c>
    </row>
    <row r="52" spans="1:101" x14ac:dyDescent="0.3">
      <c r="A52">
        <v>50</v>
      </c>
      <c r="C52">
        <v>91000</v>
      </c>
      <c r="D52">
        <v>7200</v>
      </c>
      <c r="E52">
        <v>0</v>
      </c>
      <c r="F52">
        <v>51000</v>
      </c>
      <c r="I52">
        <v>7200</v>
      </c>
      <c r="J52">
        <v>91000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51000</v>
      </c>
      <c r="T52">
        <v>51000</v>
      </c>
      <c r="U52">
        <v>7200</v>
      </c>
      <c r="V52">
        <v>0</v>
      </c>
      <c r="W52">
        <v>91000</v>
      </c>
      <c r="X52">
        <v>0</v>
      </c>
      <c r="Y52">
        <v>0</v>
      </c>
      <c r="Z52">
        <v>0</v>
      </c>
      <c r="AA52">
        <v>0</v>
      </c>
      <c r="AB52">
        <v>0</v>
      </c>
      <c r="AD52">
        <v>0</v>
      </c>
      <c r="AF52">
        <v>0</v>
      </c>
      <c r="AH52">
        <v>0</v>
      </c>
      <c r="AI52">
        <v>0</v>
      </c>
      <c r="AL52">
        <v>51000</v>
      </c>
      <c r="AP52">
        <v>51000</v>
      </c>
      <c r="AQ52">
        <v>51000</v>
      </c>
      <c r="AR52">
        <v>0</v>
      </c>
      <c r="AS52">
        <v>0</v>
      </c>
      <c r="AT52">
        <v>91000</v>
      </c>
      <c r="AU52">
        <v>0</v>
      </c>
      <c r="AV52">
        <v>0</v>
      </c>
      <c r="AW52">
        <v>51000</v>
      </c>
      <c r="AY52">
        <v>0</v>
      </c>
      <c r="AZ52">
        <v>0</v>
      </c>
      <c r="BB52">
        <v>7200</v>
      </c>
      <c r="BC52">
        <v>0</v>
      </c>
      <c r="BD52">
        <v>91000</v>
      </c>
      <c r="BE52">
        <v>51000</v>
      </c>
      <c r="BG52">
        <v>7200</v>
      </c>
      <c r="BH52">
        <v>91000</v>
      </c>
      <c r="BI52">
        <v>0</v>
      </c>
      <c r="BJ52">
        <v>0</v>
      </c>
      <c r="BK52">
        <v>0</v>
      </c>
      <c r="BL52">
        <v>91000</v>
      </c>
      <c r="BM52">
        <v>51000</v>
      </c>
      <c r="BN52">
        <v>0</v>
      </c>
      <c r="BO52">
        <v>0</v>
      </c>
      <c r="BQ52">
        <v>51000</v>
      </c>
      <c r="BR52">
        <v>7200</v>
      </c>
      <c r="BS52">
        <v>0</v>
      </c>
      <c r="BT52">
        <v>0</v>
      </c>
      <c r="BU52">
        <v>0</v>
      </c>
      <c r="BV52">
        <v>91000</v>
      </c>
      <c r="BX52">
        <v>7200</v>
      </c>
      <c r="BY52">
        <v>7200</v>
      </c>
      <c r="BZ52">
        <v>0</v>
      </c>
      <c r="CA52">
        <v>7200</v>
      </c>
      <c r="CB52">
        <v>51000</v>
      </c>
      <c r="CE52">
        <v>7200</v>
      </c>
      <c r="CF52">
        <v>0</v>
      </c>
      <c r="CG52">
        <v>51000</v>
      </c>
      <c r="CH52">
        <v>0</v>
      </c>
      <c r="CI52">
        <v>0</v>
      </c>
      <c r="CQ52">
        <v>7200</v>
      </c>
      <c r="CR52">
        <v>7200</v>
      </c>
      <c r="CU52">
        <v>7200</v>
      </c>
      <c r="CV52">
        <v>7200</v>
      </c>
    </row>
    <row r="53" spans="1:101" x14ac:dyDescent="0.3">
      <c r="A53">
        <v>51</v>
      </c>
      <c r="C53">
        <v>92000</v>
      </c>
      <c r="D53">
        <v>7200</v>
      </c>
      <c r="E53">
        <v>0</v>
      </c>
      <c r="F53">
        <v>52000</v>
      </c>
      <c r="I53">
        <v>7200</v>
      </c>
      <c r="J53">
        <v>92000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52000</v>
      </c>
      <c r="T53">
        <v>52000</v>
      </c>
      <c r="U53">
        <v>7200</v>
      </c>
      <c r="V53">
        <v>0</v>
      </c>
      <c r="W53">
        <v>92000</v>
      </c>
      <c r="X53">
        <v>0</v>
      </c>
      <c r="Y53">
        <v>0</v>
      </c>
      <c r="Z53">
        <v>0</v>
      </c>
      <c r="AA53">
        <v>0</v>
      </c>
      <c r="AB53">
        <v>0</v>
      </c>
      <c r="AD53">
        <v>0</v>
      </c>
      <c r="AF53">
        <v>0</v>
      </c>
      <c r="AH53">
        <v>0</v>
      </c>
      <c r="AI53">
        <v>0</v>
      </c>
      <c r="AL53">
        <v>52000</v>
      </c>
      <c r="AP53">
        <v>52000</v>
      </c>
      <c r="AQ53">
        <v>52000</v>
      </c>
      <c r="AR53">
        <v>0</v>
      </c>
      <c r="AS53">
        <v>0</v>
      </c>
      <c r="AT53">
        <v>92000</v>
      </c>
      <c r="AU53">
        <v>0</v>
      </c>
      <c r="AV53">
        <v>0</v>
      </c>
      <c r="AW53">
        <v>52000</v>
      </c>
      <c r="AZ53">
        <v>0</v>
      </c>
      <c r="BB53">
        <v>7200</v>
      </c>
      <c r="BC53">
        <v>0</v>
      </c>
      <c r="BD53">
        <v>92000</v>
      </c>
      <c r="BE53">
        <v>52000</v>
      </c>
      <c r="BG53">
        <v>7200</v>
      </c>
      <c r="BH53">
        <v>92000</v>
      </c>
      <c r="BI53">
        <v>0</v>
      </c>
      <c r="BJ53">
        <v>0</v>
      </c>
      <c r="BK53">
        <v>0</v>
      </c>
      <c r="BL53">
        <v>92000</v>
      </c>
      <c r="BM53">
        <v>52000</v>
      </c>
      <c r="BN53">
        <v>0</v>
      </c>
      <c r="BO53">
        <v>0</v>
      </c>
      <c r="BQ53">
        <v>52000</v>
      </c>
      <c r="BR53">
        <v>7200</v>
      </c>
      <c r="BS53">
        <v>0</v>
      </c>
      <c r="BT53">
        <v>0</v>
      </c>
      <c r="BU53">
        <v>0</v>
      </c>
      <c r="BV53">
        <v>92000</v>
      </c>
      <c r="BX53">
        <v>7200</v>
      </c>
      <c r="BY53">
        <v>7200</v>
      </c>
      <c r="BZ53">
        <v>0</v>
      </c>
      <c r="CA53">
        <v>7200</v>
      </c>
      <c r="CB53">
        <v>52000</v>
      </c>
      <c r="CE53">
        <v>7200</v>
      </c>
      <c r="CF53">
        <v>0</v>
      </c>
      <c r="CG53">
        <v>52000</v>
      </c>
      <c r="CH53">
        <v>0</v>
      </c>
      <c r="CI53">
        <v>0</v>
      </c>
      <c r="CQ53">
        <v>7200</v>
      </c>
      <c r="CR53">
        <v>7200</v>
      </c>
      <c r="CU53">
        <v>7200</v>
      </c>
      <c r="CV53">
        <v>7200</v>
      </c>
    </row>
    <row r="54" spans="1:101" x14ac:dyDescent="0.3">
      <c r="A54">
        <v>52</v>
      </c>
      <c r="C54">
        <v>93000</v>
      </c>
      <c r="D54">
        <v>7200</v>
      </c>
      <c r="E54">
        <v>0</v>
      </c>
      <c r="F54">
        <v>53000</v>
      </c>
      <c r="I54">
        <v>7200</v>
      </c>
      <c r="J54">
        <v>93000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53000</v>
      </c>
      <c r="T54">
        <v>53000</v>
      </c>
      <c r="U54">
        <v>7200</v>
      </c>
      <c r="V54">
        <v>0</v>
      </c>
      <c r="X54">
        <v>0</v>
      </c>
      <c r="Y54">
        <v>0</v>
      </c>
      <c r="Z54">
        <v>0</v>
      </c>
      <c r="AA54">
        <v>0</v>
      </c>
      <c r="AB54">
        <v>0</v>
      </c>
      <c r="AD54">
        <v>0</v>
      </c>
      <c r="AF54">
        <v>0</v>
      </c>
      <c r="AH54">
        <v>0</v>
      </c>
      <c r="AI54">
        <v>0</v>
      </c>
      <c r="AL54">
        <v>53000</v>
      </c>
      <c r="AP54">
        <v>53000</v>
      </c>
      <c r="AQ54">
        <v>53000</v>
      </c>
      <c r="AR54">
        <v>0</v>
      </c>
      <c r="AS54">
        <v>0</v>
      </c>
      <c r="AT54">
        <v>93000</v>
      </c>
      <c r="AU54">
        <v>0</v>
      </c>
      <c r="AV54">
        <v>0</v>
      </c>
      <c r="AZ54">
        <v>0</v>
      </c>
      <c r="BB54">
        <v>7200</v>
      </c>
      <c r="BC54">
        <v>0</v>
      </c>
      <c r="BD54">
        <v>93000</v>
      </c>
      <c r="BG54">
        <v>7200</v>
      </c>
      <c r="BH54">
        <v>93000</v>
      </c>
      <c r="BI54">
        <v>0</v>
      </c>
      <c r="BJ54">
        <v>0</v>
      </c>
      <c r="BK54">
        <v>0</v>
      </c>
      <c r="BL54">
        <v>93000</v>
      </c>
      <c r="BN54">
        <v>0</v>
      </c>
      <c r="BO54">
        <v>0</v>
      </c>
      <c r="BQ54">
        <v>53000</v>
      </c>
      <c r="BR54">
        <v>7200</v>
      </c>
      <c r="BS54">
        <v>0</v>
      </c>
      <c r="BT54">
        <v>0</v>
      </c>
      <c r="BU54">
        <v>0</v>
      </c>
      <c r="BV54">
        <v>93000</v>
      </c>
      <c r="BX54">
        <v>7200</v>
      </c>
      <c r="BY54">
        <v>7200</v>
      </c>
      <c r="BZ54">
        <v>0</v>
      </c>
      <c r="CA54">
        <v>7200</v>
      </c>
      <c r="CB54">
        <v>53000</v>
      </c>
      <c r="CE54">
        <v>7200</v>
      </c>
      <c r="CF54">
        <v>0</v>
      </c>
      <c r="CG54">
        <v>53000</v>
      </c>
      <c r="CH54">
        <v>0</v>
      </c>
      <c r="CI54">
        <v>0</v>
      </c>
      <c r="CQ54">
        <v>7200</v>
      </c>
      <c r="CR54">
        <v>7200</v>
      </c>
      <c r="CV54">
        <v>7200</v>
      </c>
    </row>
    <row r="55" spans="1:101" x14ac:dyDescent="0.3">
      <c r="A55">
        <v>53</v>
      </c>
      <c r="C55">
        <v>94000</v>
      </c>
      <c r="D55">
        <v>7200</v>
      </c>
      <c r="E55">
        <v>0</v>
      </c>
      <c r="F55">
        <v>54000</v>
      </c>
      <c r="I55">
        <v>7200</v>
      </c>
      <c r="J55">
        <v>94000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54000</v>
      </c>
      <c r="T55">
        <v>54000</v>
      </c>
      <c r="U55">
        <v>7200</v>
      </c>
      <c r="V55">
        <v>0</v>
      </c>
      <c r="X55">
        <v>0</v>
      </c>
      <c r="Y55">
        <v>0</v>
      </c>
      <c r="Z55">
        <v>0</v>
      </c>
      <c r="AB55">
        <v>0</v>
      </c>
      <c r="AD55">
        <v>0</v>
      </c>
      <c r="AF55">
        <v>0</v>
      </c>
      <c r="AH55">
        <v>0</v>
      </c>
      <c r="AI55">
        <v>0</v>
      </c>
      <c r="AL55">
        <v>54000</v>
      </c>
      <c r="AP55">
        <v>54000</v>
      </c>
      <c r="AQ55">
        <v>54000</v>
      </c>
      <c r="AR55">
        <v>0</v>
      </c>
      <c r="AS55">
        <v>0</v>
      </c>
      <c r="AT55">
        <v>94000</v>
      </c>
      <c r="AU55">
        <v>0</v>
      </c>
      <c r="AV55">
        <v>0</v>
      </c>
      <c r="AZ55">
        <v>0</v>
      </c>
      <c r="BB55">
        <v>7200</v>
      </c>
      <c r="BC55">
        <v>0</v>
      </c>
      <c r="BD55">
        <v>94000</v>
      </c>
      <c r="BG55">
        <v>7200</v>
      </c>
      <c r="BH55">
        <v>94000</v>
      </c>
      <c r="BI55">
        <v>0</v>
      </c>
      <c r="BJ55">
        <v>0</v>
      </c>
      <c r="BK55">
        <v>0</v>
      </c>
      <c r="BL55">
        <v>94000</v>
      </c>
      <c r="BN55">
        <v>0</v>
      </c>
      <c r="BO55">
        <v>0</v>
      </c>
      <c r="BQ55">
        <v>54000</v>
      </c>
      <c r="BR55">
        <v>7200</v>
      </c>
      <c r="BS55">
        <v>0</v>
      </c>
      <c r="BT55">
        <v>0</v>
      </c>
      <c r="BU55">
        <v>0</v>
      </c>
      <c r="BV55">
        <v>94000</v>
      </c>
      <c r="BY55">
        <v>7200</v>
      </c>
      <c r="BZ55">
        <v>0</v>
      </c>
      <c r="CA55">
        <v>7200</v>
      </c>
      <c r="CB55">
        <v>54000</v>
      </c>
      <c r="CF55">
        <v>0</v>
      </c>
      <c r="CG55">
        <v>54000</v>
      </c>
      <c r="CH55">
        <v>0</v>
      </c>
      <c r="CI55">
        <v>0</v>
      </c>
      <c r="CQ55">
        <v>7200</v>
      </c>
      <c r="CR55">
        <v>7200</v>
      </c>
      <c r="CV55">
        <v>7200</v>
      </c>
    </row>
    <row r="56" spans="1:101" x14ac:dyDescent="0.3">
      <c r="A56">
        <v>54</v>
      </c>
      <c r="C56">
        <v>95000</v>
      </c>
      <c r="D56">
        <v>7200</v>
      </c>
      <c r="E56">
        <v>0</v>
      </c>
      <c r="F56">
        <v>0</v>
      </c>
      <c r="I56">
        <v>7200</v>
      </c>
      <c r="J56">
        <v>95000</v>
      </c>
      <c r="L56">
        <v>0</v>
      </c>
      <c r="M56">
        <v>0</v>
      </c>
      <c r="N56">
        <v>0</v>
      </c>
      <c r="O56">
        <v>0</v>
      </c>
      <c r="P56">
        <v>0</v>
      </c>
      <c r="R56">
        <v>0</v>
      </c>
      <c r="T56">
        <v>0</v>
      </c>
      <c r="U56">
        <v>7200</v>
      </c>
      <c r="V56">
        <v>0</v>
      </c>
      <c r="X56">
        <v>0</v>
      </c>
      <c r="Y56">
        <v>0</v>
      </c>
      <c r="Z56">
        <v>0</v>
      </c>
      <c r="AB56">
        <v>0</v>
      </c>
      <c r="AD56">
        <v>0</v>
      </c>
      <c r="AF56">
        <v>0</v>
      </c>
      <c r="AH56">
        <v>0</v>
      </c>
      <c r="AI56">
        <v>0</v>
      </c>
      <c r="AL56">
        <v>0</v>
      </c>
      <c r="AP56">
        <v>0</v>
      </c>
      <c r="AQ56">
        <v>0</v>
      </c>
      <c r="AR56">
        <v>0</v>
      </c>
      <c r="AS56">
        <v>0</v>
      </c>
      <c r="AT56">
        <v>95000</v>
      </c>
      <c r="AU56">
        <v>0</v>
      </c>
      <c r="AV56">
        <v>0</v>
      </c>
      <c r="AZ56">
        <v>0</v>
      </c>
      <c r="BB56">
        <v>7200</v>
      </c>
      <c r="BC56">
        <v>0</v>
      </c>
      <c r="BG56">
        <v>7200</v>
      </c>
      <c r="BH56">
        <v>95000</v>
      </c>
      <c r="BI56">
        <v>0</v>
      </c>
      <c r="BJ56">
        <v>0</v>
      </c>
      <c r="BK56">
        <v>0</v>
      </c>
      <c r="BL56">
        <v>95000</v>
      </c>
      <c r="BN56">
        <v>0</v>
      </c>
      <c r="BO56">
        <v>0</v>
      </c>
      <c r="BQ56">
        <v>0</v>
      </c>
      <c r="BR56">
        <v>7200</v>
      </c>
      <c r="BS56">
        <v>0</v>
      </c>
      <c r="BT56">
        <v>0</v>
      </c>
      <c r="BV56">
        <v>95000</v>
      </c>
      <c r="BY56">
        <v>7200</v>
      </c>
      <c r="BZ56">
        <v>0</v>
      </c>
      <c r="CA56">
        <v>7200</v>
      </c>
      <c r="CB56">
        <v>0</v>
      </c>
      <c r="CF56">
        <v>0</v>
      </c>
      <c r="CG56">
        <v>0</v>
      </c>
      <c r="CH56">
        <v>0</v>
      </c>
      <c r="CI56">
        <v>0</v>
      </c>
      <c r="CQ56">
        <v>7200</v>
      </c>
      <c r="CR56">
        <v>7200</v>
      </c>
      <c r="CV56">
        <v>7200</v>
      </c>
    </row>
    <row r="57" spans="1:101" x14ac:dyDescent="0.3">
      <c r="A57">
        <v>55</v>
      </c>
      <c r="C57">
        <v>96000</v>
      </c>
      <c r="D57">
        <v>7200</v>
      </c>
      <c r="E57">
        <v>0</v>
      </c>
      <c r="F57">
        <v>0</v>
      </c>
      <c r="I57">
        <v>7200</v>
      </c>
      <c r="J57">
        <v>96000</v>
      </c>
      <c r="N57">
        <v>0</v>
      </c>
      <c r="O57">
        <v>0</v>
      </c>
      <c r="P57">
        <v>0</v>
      </c>
      <c r="R57">
        <v>0</v>
      </c>
      <c r="T57">
        <v>0</v>
      </c>
      <c r="U57">
        <v>7200</v>
      </c>
      <c r="V57">
        <v>0</v>
      </c>
      <c r="X57">
        <v>0</v>
      </c>
      <c r="Y57">
        <v>0</v>
      </c>
      <c r="Z57">
        <v>0</v>
      </c>
      <c r="AB57">
        <v>0</v>
      </c>
      <c r="AD57">
        <v>0</v>
      </c>
      <c r="AF57">
        <v>0</v>
      </c>
      <c r="AH57">
        <v>0</v>
      </c>
      <c r="AI57">
        <v>0</v>
      </c>
      <c r="AL57">
        <v>0</v>
      </c>
      <c r="AP57">
        <v>0</v>
      </c>
      <c r="AQ57">
        <v>0</v>
      </c>
      <c r="AR57">
        <v>0</v>
      </c>
      <c r="AS57">
        <v>0</v>
      </c>
      <c r="AT57">
        <v>96000</v>
      </c>
      <c r="AU57">
        <v>0</v>
      </c>
      <c r="AZ57">
        <v>0</v>
      </c>
      <c r="BB57">
        <v>7200</v>
      </c>
      <c r="BC57">
        <v>0</v>
      </c>
      <c r="BG57">
        <v>7200</v>
      </c>
      <c r="BI57">
        <v>0</v>
      </c>
      <c r="BJ57">
        <v>0</v>
      </c>
      <c r="BK57">
        <v>0</v>
      </c>
      <c r="BL57">
        <v>96000</v>
      </c>
      <c r="BN57">
        <v>0</v>
      </c>
      <c r="BO57">
        <v>0</v>
      </c>
      <c r="BQ57">
        <v>0</v>
      </c>
      <c r="BR57">
        <v>7200</v>
      </c>
      <c r="BS57">
        <v>0</v>
      </c>
      <c r="BT57">
        <v>0</v>
      </c>
      <c r="BV57">
        <v>96000</v>
      </c>
      <c r="BY57">
        <v>7200</v>
      </c>
      <c r="BZ57">
        <v>0</v>
      </c>
      <c r="CA57">
        <v>7200</v>
      </c>
      <c r="CB57">
        <v>0</v>
      </c>
      <c r="CF57">
        <v>0</v>
      </c>
      <c r="CG57">
        <v>0</v>
      </c>
      <c r="CH57">
        <v>0</v>
      </c>
      <c r="CI57">
        <v>0</v>
      </c>
      <c r="CQ57">
        <v>7200</v>
      </c>
      <c r="CV57">
        <v>7200</v>
      </c>
    </row>
    <row r="58" spans="1:101" x14ac:dyDescent="0.3">
      <c r="A58">
        <v>56</v>
      </c>
      <c r="C58">
        <v>97000</v>
      </c>
      <c r="D58">
        <v>7200</v>
      </c>
      <c r="E58">
        <v>0</v>
      </c>
      <c r="F58">
        <v>0</v>
      </c>
      <c r="I58">
        <v>7200</v>
      </c>
      <c r="J58">
        <v>97000</v>
      </c>
      <c r="N58">
        <v>0</v>
      </c>
      <c r="O58">
        <v>0</v>
      </c>
      <c r="P58">
        <v>0</v>
      </c>
      <c r="R58">
        <v>0</v>
      </c>
      <c r="T58">
        <v>0</v>
      </c>
      <c r="U58">
        <v>7200</v>
      </c>
      <c r="V58">
        <v>0</v>
      </c>
      <c r="X58">
        <v>0</v>
      </c>
      <c r="Y58">
        <v>0</v>
      </c>
      <c r="Z58">
        <v>0</v>
      </c>
      <c r="AB58">
        <v>0</v>
      </c>
      <c r="AD58">
        <v>0</v>
      </c>
      <c r="AF58">
        <v>0</v>
      </c>
      <c r="AH58">
        <v>0</v>
      </c>
      <c r="AI58">
        <v>0</v>
      </c>
      <c r="AL58">
        <v>0</v>
      </c>
      <c r="AP58">
        <v>0</v>
      </c>
      <c r="AQ58">
        <v>0</v>
      </c>
      <c r="AR58">
        <v>0</v>
      </c>
      <c r="AS58">
        <v>0</v>
      </c>
      <c r="AT58">
        <v>97000</v>
      </c>
      <c r="AU58">
        <v>0</v>
      </c>
      <c r="AZ58">
        <v>0</v>
      </c>
      <c r="BB58">
        <v>7200</v>
      </c>
      <c r="BG58">
        <v>7200</v>
      </c>
      <c r="BI58">
        <v>0</v>
      </c>
      <c r="BK58">
        <v>0</v>
      </c>
      <c r="BL58">
        <v>97000</v>
      </c>
      <c r="BO58">
        <v>0</v>
      </c>
      <c r="BQ58">
        <v>0</v>
      </c>
      <c r="BR58">
        <v>7200</v>
      </c>
      <c r="BS58">
        <v>0</v>
      </c>
      <c r="BT58">
        <v>0</v>
      </c>
      <c r="BV58">
        <v>97000</v>
      </c>
      <c r="BY58">
        <v>7200</v>
      </c>
      <c r="CA58">
        <v>7200</v>
      </c>
      <c r="CB58">
        <v>0</v>
      </c>
      <c r="CF58">
        <v>0</v>
      </c>
      <c r="CH58">
        <v>0</v>
      </c>
      <c r="CI58">
        <v>0</v>
      </c>
      <c r="CQ58">
        <v>7200</v>
      </c>
      <c r="CV58">
        <v>7200</v>
      </c>
    </row>
    <row r="59" spans="1:101" x14ac:dyDescent="0.3">
      <c r="A59">
        <v>57</v>
      </c>
      <c r="C59">
        <v>98000</v>
      </c>
      <c r="D59">
        <v>7200</v>
      </c>
      <c r="E59">
        <v>0</v>
      </c>
      <c r="F59">
        <v>0</v>
      </c>
      <c r="I59">
        <v>7200</v>
      </c>
      <c r="J59">
        <v>98000</v>
      </c>
      <c r="O59">
        <v>0</v>
      </c>
      <c r="R59">
        <v>0</v>
      </c>
      <c r="T59">
        <v>0</v>
      </c>
      <c r="U59">
        <v>7200</v>
      </c>
      <c r="V59">
        <v>0</v>
      </c>
      <c r="X59">
        <v>0</v>
      </c>
      <c r="Y59">
        <v>0</v>
      </c>
      <c r="Z59">
        <v>0</v>
      </c>
      <c r="AB59">
        <v>0</v>
      </c>
      <c r="AD59">
        <v>0</v>
      </c>
      <c r="AF59">
        <v>0</v>
      </c>
      <c r="AH59">
        <v>0</v>
      </c>
      <c r="AI59">
        <v>0</v>
      </c>
      <c r="AL59">
        <v>0</v>
      </c>
      <c r="AP59">
        <v>0</v>
      </c>
      <c r="AQ59">
        <v>0</v>
      </c>
      <c r="AR59">
        <v>0</v>
      </c>
      <c r="AS59">
        <v>0</v>
      </c>
      <c r="AT59">
        <v>98000</v>
      </c>
      <c r="AU59">
        <v>0</v>
      </c>
      <c r="AZ59">
        <v>0</v>
      </c>
      <c r="BB59">
        <v>7200</v>
      </c>
      <c r="BG59">
        <v>7200</v>
      </c>
      <c r="BI59">
        <v>0</v>
      </c>
      <c r="BK59">
        <v>0</v>
      </c>
      <c r="BO59">
        <v>0</v>
      </c>
      <c r="BQ59">
        <v>0</v>
      </c>
      <c r="BS59">
        <v>0</v>
      </c>
      <c r="BT59">
        <v>0</v>
      </c>
      <c r="BV59">
        <v>98000</v>
      </c>
      <c r="BY59">
        <v>7200</v>
      </c>
      <c r="CA59">
        <v>7200</v>
      </c>
      <c r="CB59">
        <v>0</v>
      </c>
      <c r="CF59">
        <v>0</v>
      </c>
      <c r="CH59">
        <v>0</v>
      </c>
      <c r="CI59">
        <v>0</v>
      </c>
      <c r="CQ59">
        <v>7200</v>
      </c>
      <c r="CV59">
        <v>7200</v>
      </c>
    </row>
    <row r="60" spans="1:101" x14ac:dyDescent="0.3">
      <c r="A60">
        <v>58</v>
      </c>
      <c r="C60">
        <v>99000</v>
      </c>
      <c r="D60">
        <v>7200</v>
      </c>
      <c r="E60">
        <v>0</v>
      </c>
      <c r="I60">
        <v>7200</v>
      </c>
      <c r="J60">
        <v>99000</v>
      </c>
      <c r="O60">
        <v>0</v>
      </c>
      <c r="T60">
        <v>0</v>
      </c>
      <c r="U60">
        <v>7200</v>
      </c>
      <c r="V60">
        <v>0</v>
      </c>
      <c r="X60">
        <v>0</v>
      </c>
      <c r="Y60">
        <v>0</v>
      </c>
      <c r="Z60">
        <v>0</v>
      </c>
      <c r="AD60">
        <v>0</v>
      </c>
      <c r="AF60">
        <v>0</v>
      </c>
      <c r="AH60">
        <v>0</v>
      </c>
      <c r="AI60">
        <v>0</v>
      </c>
      <c r="AL60">
        <v>0</v>
      </c>
      <c r="AP60">
        <v>0</v>
      </c>
      <c r="AQ60">
        <v>0</v>
      </c>
      <c r="AR60">
        <v>0</v>
      </c>
      <c r="AS60">
        <v>0</v>
      </c>
      <c r="AT60">
        <v>99000</v>
      </c>
      <c r="AU60">
        <v>0</v>
      </c>
      <c r="AZ60">
        <v>0</v>
      </c>
      <c r="BB60">
        <v>7200</v>
      </c>
      <c r="BG60">
        <v>7200</v>
      </c>
      <c r="BI60">
        <v>0</v>
      </c>
      <c r="BK60">
        <v>0</v>
      </c>
      <c r="BO60">
        <v>0</v>
      </c>
      <c r="BQ60">
        <v>0</v>
      </c>
      <c r="BS60">
        <v>0</v>
      </c>
      <c r="BT60">
        <v>0</v>
      </c>
      <c r="BV60">
        <v>99000</v>
      </c>
      <c r="BY60">
        <v>7200</v>
      </c>
      <c r="CA60">
        <v>7200</v>
      </c>
      <c r="CB60">
        <v>0</v>
      </c>
      <c r="CF60">
        <v>0</v>
      </c>
      <c r="CH60">
        <v>0</v>
      </c>
      <c r="CI60">
        <v>0</v>
      </c>
      <c r="CQ60">
        <v>7200</v>
      </c>
      <c r="CV60">
        <v>7200</v>
      </c>
    </row>
    <row r="61" spans="1:101" x14ac:dyDescent="0.3">
      <c r="A61">
        <v>59</v>
      </c>
      <c r="C61">
        <v>100000</v>
      </c>
      <c r="D61">
        <v>7200</v>
      </c>
      <c r="E61">
        <v>0</v>
      </c>
      <c r="I61">
        <v>7200</v>
      </c>
      <c r="J61">
        <v>100000</v>
      </c>
      <c r="O61">
        <v>0</v>
      </c>
      <c r="T61">
        <v>0</v>
      </c>
      <c r="U61">
        <v>7200</v>
      </c>
      <c r="V61">
        <v>0</v>
      </c>
      <c r="Y61">
        <v>0</v>
      </c>
      <c r="Z61">
        <v>0</v>
      </c>
      <c r="AD61">
        <v>0</v>
      </c>
      <c r="AF61">
        <v>0</v>
      </c>
      <c r="AH61">
        <v>0</v>
      </c>
      <c r="AI61">
        <v>0</v>
      </c>
      <c r="AL61">
        <v>0</v>
      </c>
      <c r="AP61">
        <v>0</v>
      </c>
      <c r="AQ61">
        <v>0</v>
      </c>
      <c r="AR61">
        <v>0</v>
      </c>
      <c r="AS61">
        <v>0</v>
      </c>
      <c r="AT61">
        <v>100000</v>
      </c>
      <c r="AU61">
        <v>0</v>
      </c>
      <c r="AZ61">
        <v>0</v>
      </c>
      <c r="BB61">
        <v>7200</v>
      </c>
      <c r="BI61">
        <v>0</v>
      </c>
      <c r="BK61">
        <v>0</v>
      </c>
      <c r="BO61">
        <v>0</v>
      </c>
      <c r="BQ61">
        <v>0</v>
      </c>
      <c r="BS61">
        <v>0</v>
      </c>
      <c r="BT61">
        <v>0</v>
      </c>
      <c r="BY61">
        <v>7200</v>
      </c>
      <c r="CB61">
        <v>0</v>
      </c>
      <c r="CF61">
        <v>0</v>
      </c>
      <c r="CH61">
        <v>0</v>
      </c>
      <c r="CI61">
        <v>0</v>
      </c>
      <c r="CQ61">
        <v>7200</v>
      </c>
      <c r="CV61">
        <v>7200</v>
      </c>
    </row>
    <row r="62" spans="1:101" x14ac:dyDescent="0.3">
      <c r="A62">
        <v>60</v>
      </c>
      <c r="D62">
        <v>7200</v>
      </c>
      <c r="E62">
        <v>0</v>
      </c>
      <c r="I62">
        <v>7200</v>
      </c>
      <c r="J62">
        <v>0</v>
      </c>
      <c r="O62">
        <v>0</v>
      </c>
      <c r="T62">
        <v>0</v>
      </c>
      <c r="U62">
        <v>7200</v>
      </c>
      <c r="Y62">
        <v>0</v>
      </c>
      <c r="Z62">
        <v>0</v>
      </c>
      <c r="AD62">
        <v>0</v>
      </c>
      <c r="AF62">
        <v>0</v>
      </c>
      <c r="AH62">
        <v>0</v>
      </c>
      <c r="AI62">
        <v>0</v>
      </c>
      <c r="AL62">
        <v>0</v>
      </c>
      <c r="AP62">
        <v>0</v>
      </c>
      <c r="AQ62">
        <v>0</v>
      </c>
      <c r="AR62">
        <v>0</v>
      </c>
      <c r="AS62">
        <v>0</v>
      </c>
      <c r="AU62">
        <v>0</v>
      </c>
      <c r="AZ62">
        <v>0</v>
      </c>
      <c r="BB62">
        <v>7200</v>
      </c>
      <c r="BI62">
        <v>0</v>
      </c>
      <c r="BK62">
        <v>0</v>
      </c>
      <c r="BO62">
        <v>0</v>
      </c>
      <c r="BQ62">
        <v>0</v>
      </c>
      <c r="BT62">
        <v>0</v>
      </c>
      <c r="BY62">
        <v>7200</v>
      </c>
      <c r="CB62">
        <v>0</v>
      </c>
      <c r="CF62">
        <v>0</v>
      </c>
      <c r="CH62">
        <v>0</v>
      </c>
      <c r="CI62">
        <v>0</v>
      </c>
      <c r="CQ62">
        <v>7200</v>
      </c>
      <c r="CV62">
        <v>7200</v>
      </c>
    </row>
    <row r="63" spans="1:101" x14ac:dyDescent="0.3">
      <c r="A63">
        <v>61</v>
      </c>
      <c r="D63">
        <v>7200</v>
      </c>
      <c r="E63">
        <v>0</v>
      </c>
      <c r="I63">
        <v>7200</v>
      </c>
      <c r="J63">
        <v>0</v>
      </c>
      <c r="O63">
        <v>0</v>
      </c>
      <c r="T63">
        <v>0</v>
      </c>
      <c r="U63">
        <v>7200</v>
      </c>
      <c r="Y63">
        <v>0</v>
      </c>
      <c r="Z63">
        <v>0</v>
      </c>
      <c r="AD63">
        <v>0</v>
      </c>
      <c r="AF63">
        <v>0</v>
      </c>
      <c r="AH63">
        <v>0</v>
      </c>
      <c r="AI63">
        <v>0</v>
      </c>
      <c r="AL63">
        <v>0</v>
      </c>
      <c r="AP63">
        <v>0</v>
      </c>
      <c r="AR63">
        <v>0</v>
      </c>
      <c r="AS63">
        <v>0</v>
      </c>
      <c r="AZ63">
        <v>0</v>
      </c>
      <c r="BI63">
        <v>0</v>
      </c>
      <c r="BK63">
        <v>0</v>
      </c>
      <c r="BO63">
        <v>0</v>
      </c>
      <c r="BT63">
        <v>0</v>
      </c>
      <c r="BY63">
        <v>7200</v>
      </c>
      <c r="CB63">
        <v>0</v>
      </c>
      <c r="CF63">
        <v>0</v>
      </c>
      <c r="CH63">
        <v>0</v>
      </c>
      <c r="CI63">
        <v>0</v>
      </c>
      <c r="CQ63">
        <v>7200</v>
      </c>
      <c r="CV63">
        <v>7200</v>
      </c>
    </row>
    <row r="64" spans="1:101" x14ac:dyDescent="0.3">
      <c r="A64">
        <v>62</v>
      </c>
      <c r="D64">
        <v>7200</v>
      </c>
      <c r="E64">
        <v>0</v>
      </c>
      <c r="J64">
        <v>0</v>
      </c>
      <c r="O64">
        <v>0</v>
      </c>
      <c r="T64">
        <v>0</v>
      </c>
      <c r="U64">
        <v>7200</v>
      </c>
      <c r="Y64">
        <v>0</v>
      </c>
      <c r="Z64">
        <v>0</v>
      </c>
      <c r="AD64">
        <v>0</v>
      </c>
      <c r="AF64">
        <v>0</v>
      </c>
      <c r="AH64">
        <v>0</v>
      </c>
      <c r="AI64">
        <v>0</v>
      </c>
      <c r="AL64">
        <v>0</v>
      </c>
      <c r="AP64">
        <v>0</v>
      </c>
      <c r="AR64">
        <v>0</v>
      </c>
      <c r="AS64">
        <v>0</v>
      </c>
      <c r="AZ64">
        <v>0</v>
      </c>
      <c r="BI64">
        <v>0</v>
      </c>
      <c r="BK64">
        <v>0</v>
      </c>
      <c r="BO64">
        <v>0</v>
      </c>
      <c r="BT64">
        <v>0</v>
      </c>
      <c r="BY64">
        <v>7200</v>
      </c>
      <c r="CB64">
        <v>0</v>
      </c>
      <c r="CF64">
        <v>0</v>
      </c>
      <c r="CH64">
        <v>0</v>
      </c>
      <c r="CI64">
        <v>0</v>
      </c>
      <c r="CQ64">
        <v>7200</v>
      </c>
      <c r="CV64">
        <v>7200</v>
      </c>
    </row>
    <row r="65" spans="1:100" x14ac:dyDescent="0.3">
      <c r="A65">
        <v>63</v>
      </c>
      <c r="D65">
        <v>7200</v>
      </c>
      <c r="E65">
        <v>0</v>
      </c>
      <c r="J65">
        <v>0</v>
      </c>
      <c r="O65">
        <v>0</v>
      </c>
      <c r="U65">
        <v>7200</v>
      </c>
      <c r="Y65">
        <v>0</v>
      </c>
      <c r="AD65">
        <v>0</v>
      </c>
      <c r="AF65">
        <v>0</v>
      </c>
      <c r="AH65">
        <v>0</v>
      </c>
      <c r="AI65">
        <v>0</v>
      </c>
      <c r="AL65">
        <v>0</v>
      </c>
      <c r="AP65">
        <v>0</v>
      </c>
      <c r="AR65">
        <v>0</v>
      </c>
      <c r="AS65">
        <v>0</v>
      </c>
      <c r="AZ65">
        <v>0</v>
      </c>
      <c r="BI65">
        <v>0</v>
      </c>
      <c r="BK65">
        <v>0</v>
      </c>
      <c r="BT65">
        <v>0</v>
      </c>
      <c r="BY65">
        <v>7200</v>
      </c>
      <c r="CB65">
        <v>0</v>
      </c>
      <c r="CH65">
        <v>0</v>
      </c>
      <c r="CI65">
        <v>0</v>
      </c>
      <c r="CQ65">
        <v>7200</v>
      </c>
      <c r="CV65">
        <v>7200</v>
      </c>
    </row>
    <row r="66" spans="1:100" x14ac:dyDescent="0.3">
      <c r="A66">
        <v>64</v>
      </c>
      <c r="D66">
        <v>7200</v>
      </c>
      <c r="E66">
        <v>0</v>
      </c>
      <c r="O66">
        <v>0</v>
      </c>
      <c r="U66">
        <v>7200</v>
      </c>
      <c r="Y66">
        <v>0</v>
      </c>
      <c r="AD66">
        <v>0</v>
      </c>
      <c r="AF66">
        <v>0</v>
      </c>
      <c r="AH66">
        <v>0</v>
      </c>
      <c r="AI66">
        <v>0</v>
      </c>
      <c r="AL66">
        <v>0</v>
      </c>
      <c r="AP66">
        <v>0</v>
      </c>
      <c r="AR66">
        <v>0</v>
      </c>
      <c r="AS66">
        <v>0</v>
      </c>
      <c r="AZ66">
        <v>0</v>
      </c>
      <c r="BI66">
        <v>0</v>
      </c>
      <c r="BK66">
        <v>0</v>
      </c>
      <c r="BT66">
        <v>0</v>
      </c>
      <c r="BY66">
        <v>7200</v>
      </c>
      <c r="CH66">
        <v>0</v>
      </c>
      <c r="CI66">
        <v>0</v>
      </c>
      <c r="CQ66">
        <v>7200</v>
      </c>
      <c r="CV66">
        <v>7200</v>
      </c>
    </row>
    <row r="67" spans="1:100" x14ac:dyDescent="0.3">
      <c r="A67">
        <v>65</v>
      </c>
      <c r="D67">
        <v>7200</v>
      </c>
      <c r="U67">
        <v>7200</v>
      </c>
      <c r="Y67">
        <v>0</v>
      </c>
      <c r="AD67">
        <v>0</v>
      </c>
      <c r="AH67">
        <v>0</v>
      </c>
      <c r="AI67">
        <v>0</v>
      </c>
      <c r="AL67">
        <v>0</v>
      </c>
      <c r="AP67">
        <v>0</v>
      </c>
      <c r="AR67">
        <v>0</v>
      </c>
      <c r="AZ67">
        <v>0</v>
      </c>
      <c r="BI67">
        <v>0</v>
      </c>
      <c r="BK67">
        <v>0</v>
      </c>
      <c r="BT67">
        <v>0</v>
      </c>
      <c r="CH67">
        <v>0</v>
      </c>
      <c r="CV67">
        <v>7200</v>
      </c>
    </row>
    <row r="68" spans="1:100" x14ac:dyDescent="0.3">
      <c r="A68">
        <v>66</v>
      </c>
      <c r="D68">
        <v>7200</v>
      </c>
      <c r="U68">
        <v>7200</v>
      </c>
      <c r="Y68">
        <v>0</v>
      </c>
      <c r="AD68">
        <v>0</v>
      </c>
      <c r="AH68">
        <v>0</v>
      </c>
      <c r="AL68">
        <v>0</v>
      </c>
      <c r="AP68">
        <v>0</v>
      </c>
      <c r="AZ68">
        <v>0</v>
      </c>
      <c r="BI68">
        <v>0</v>
      </c>
      <c r="BK68">
        <v>0</v>
      </c>
      <c r="CH68">
        <v>0</v>
      </c>
      <c r="CV68">
        <v>7200</v>
      </c>
    </row>
    <row r="69" spans="1:100" x14ac:dyDescent="0.3">
      <c r="A69">
        <v>67</v>
      </c>
      <c r="D69">
        <v>7200</v>
      </c>
      <c r="U69">
        <v>7200</v>
      </c>
      <c r="Y69">
        <v>0</v>
      </c>
      <c r="AD69">
        <v>0</v>
      </c>
      <c r="AH69">
        <v>0</v>
      </c>
      <c r="AL69">
        <v>0</v>
      </c>
      <c r="AP69">
        <v>0</v>
      </c>
      <c r="AZ69">
        <v>0</v>
      </c>
      <c r="BI69">
        <v>0</v>
      </c>
      <c r="BK69">
        <v>0</v>
      </c>
      <c r="CH69">
        <v>0</v>
      </c>
      <c r="CV69">
        <v>7200</v>
      </c>
    </row>
    <row r="70" spans="1:100" x14ac:dyDescent="0.3">
      <c r="A70">
        <v>68</v>
      </c>
      <c r="D70">
        <v>7200</v>
      </c>
      <c r="U70">
        <v>7200</v>
      </c>
      <c r="Y70">
        <v>0</v>
      </c>
      <c r="AP70">
        <v>0</v>
      </c>
      <c r="BI70">
        <v>0</v>
      </c>
      <c r="CV70">
        <v>7200</v>
      </c>
    </row>
    <row r="71" spans="1:100" x14ac:dyDescent="0.3">
      <c r="A71">
        <v>69</v>
      </c>
      <c r="D71">
        <v>7200</v>
      </c>
      <c r="Y71">
        <v>0</v>
      </c>
    </row>
    <row r="72" spans="1:100" x14ac:dyDescent="0.3">
      <c r="A72">
        <v>70</v>
      </c>
    </row>
    <row r="73" spans="1:100" x14ac:dyDescent="0.3">
      <c r="A73">
        <v>71</v>
      </c>
    </row>
    <row r="74" spans="1:100" x14ac:dyDescent="0.3">
      <c r="A74">
        <v>72</v>
      </c>
    </row>
    <row r="75" spans="1:100" x14ac:dyDescent="0.3">
      <c r="A75">
        <v>73</v>
      </c>
    </row>
    <row r="76" spans="1:100" x14ac:dyDescent="0.3">
      <c r="A76">
        <v>74</v>
      </c>
    </row>
    <row r="77" spans="1:100" x14ac:dyDescent="0.3">
      <c r="A77">
        <v>75</v>
      </c>
    </row>
    <row r="78" spans="1:100" x14ac:dyDescent="0.3">
      <c r="A78">
        <v>76</v>
      </c>
    </row>
    <row r="79" spans="1:100" x14ac:dyDescent="0.3">
      <c r="A79">
        <v>77</v>
      </c>
    </row>
    <row r="80" spans="1:100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01" x14ac:dyDescent="0.3">
      <c r="A97">
        <v>95</v>
      </c>
    </row>
    <row r="98" spans="1:101" x14ac:dyDescent="0.3">
      <c r="A98">
        <v>96</v>
      </c>
    </row>
    <row r="99" spans="1:101" x14ac:dyDescent="0.3">
      <c r="A99">
        <v>97</v>
      </c>
    </row>
    <row r="100" spans="1:101" x14ac:dyDescent="0.3">
      <c r="A100">
        <v>98</v>
      </c>
    </row>
    <row r="101" spans="1:101" x14ac:dyDescent="0.3">
      <c r="A101">
        <v>99</v>
      </c>
    </row>
    <row r="102" spans="1:101" x14ac:dyDescent="0.3">
      <c r="A102">
        <v>100</v>
      </c>
    </row>
    <row r="103" spans="1:101" x14ac:dyDescent="0.3">
      <c r="A103">
        <v>101</v>
      </c>
    </row>
    <row r="104" spans="1:101" x14ac:dyDescent="0.3">
      <c r="A104">
        <v>102</v>
      </c>
    </row>
    <row r="105" spans="1:101" x14ac:dyDescent="0.3">
      <c r="A105">
        <v>103</v>
      </c>
    </row>
    <row r="106" spans="1:101" x14ac:dyDescent="0.3">
      <c r="A106" s="5" t="s">
        <v>123</v>
      </c>
      <c r="B106">
        <f>SUM(B3:B105)</f>
        <v>415000</v>
      </c>
      <c r="C106">
        <f t="shared" ref="C106:V106" si="0">SUM(C3:C105)</f>
        <v>3280000</v>
      </c>
      <c r="D106">
        <f t="shared" si="0"/>
        <v>439200</v>
      </c>
      <c r="E106">
        <f t="shared" si="0"/>
        <v>270000</v>
      </c>
      <c r="F106">
        <f t="shared" si="0"/>
        <v>1185000</v>
      </c>
      <c r="G106">
        <f t="shared" si="0"/>
        <v>828000</v>
      </c>
      <c r="H106">
        <f t="shared" si="0"/>
        <v>1971000</v>
      </c>
      <c r="I106">
        <f t="shared" si="0"/>
        <v>309600</v>
      </c>
      <c r="J106">
        <f t="shared" si="0"/>
        <v>3280000</v>
      </c>
      <c r="K106">
        <f t="shared" si="0"/>
        <v>440000</v>
      </c>
      <c r="L106">
        <f t="shared" si="0"/>
        <v>240000</v>
      </c>
      <c r="M106">
        <f t="shared" si="0"/>
        <v>75000</v>
      </c>
      <c r="N106">
        <f t="shared" si="0"/>
        <v>75000</v>
      </c>
      <c r="O106">
        <f t="shared" si="0"/>
        <v>285000</v>
      </c>
      <c r="P106">
        <f t="shared" si="0"/>
        <v>100000.00000000001</v>
      </c>
      <c r="Q106">
        <f t="shared" si="0"/>
        <v>150000</v>
      </c>
      <c r="R106">
        <f t="shared" si="0"/>
        <v>440000</v>
      </c>
      <c r="S106">
        <f t="shared" si="0"/>
        <v>1185000</v>
      </c>
      <c r="T106">
        <f t="shared" si="0"/>
        <v>1185000</v>
      </c>
      <c r="U106">
        <f t="shared" si="0"/>
        <v>489600</v>
      </c>
      <c r="V106">
        <f t="shared" si="0"/>
        <v>100000</v>
      </c>
      <c r="W106">
        <f t="shared" ref="W106" si="1">SUM(W3:W105)</f>
        <v>2508000</v>
      </c>
      <c r="X106">
        <f t="shared" ref="X106" si="2">SUM(X3:X105)</f>
        <v>90000</v>
      </c>
      <c r="Y106">
        <f t="shared" ref="Y106" si="3">SUM(Y3:Y105)</f>
        <v>371000</v>
      </c>
      <c r="Z106">
        <f t="shared" ref="Z106" si="4">SUM(Z3:Z105)</f>
        <v>90000</v>
      </c>
      <c r="AA106">
        <f t="shared" ref="AA106" si="5">SUM(AA3:AA105)</f>
        <v>440000</v>
      </c>
      <c r="AB106">
        <f t="shared" ref="AB106" si="6">SUM(AB3:AB105)</f>
        <v>180000</v>
      </c>
      <c r="AC106">
        <f t="shared" ref="AC106" si="7">SUM(AC3:AC105)</f>
        <v>93600</v>
      </c>
      <c r="AD106">
        <f t="shared" ref="AD106" si="8">SUM(AD3:AD105)</f>
        <v>240000</v>
      </c>
      <c r="AE106">
        <f t="shared" ref="AE106" si="9">SUM(AE3:AE105)</f>
        <v>120000</v>
      </c>
      <c r="AF106">
        <f t="shared" ref="AF106" si="10">SUM(AF3:AF105)</f>
        <v>285000</v>
      </c>
      <c r="AG106">
        <f t="shared" ref="AG106" si="11">SUM(AG3:AG105)</f>
        <v>90000</v>
      </c>
      <c r="AH106">
        <f t="shared" ref="AH106" si="12">SUM(AH3:AH105)</f>
        <v>285000</v>
      </c>
      <c r="AI106">
        <f t="shared" ref="AI106" si="13">SUM(AI3:AI105)</f>
        <v>107000</v>
      </c>
      <c r="AJ106">
        <f t="shared" ref="AJ106" si="14">SUM(AJ3:AJ105)</f>
        <v>285000</v>
      </c>
      <c r="AK106">
        <f t="shared" ref="AK106" si="15">SUM(AK3:AK105)</f>
        <v>210000</v>
      </c>
      <c r="AL106">
        <f t="shared" ref="AL106" si="16">SUM(AL3:AL105)</f>
        <v>1185000</v>
      </c>
      <c r="AM106">
        <f t="shared" ref="AM106" si="17">SUM(AM3:AM105)</f>
        <v>646000</v>
      </c>
      <c r="AN106">
        <f t="shared" ref="AN106" si="18">SUM(AN3:AN105)</f>
        <v>64800</v>
      </c>
      <c r="AO106">
        <f t="shared" ref="AO106:AP106" si="19">SUM(AO3:AO105)</f>
        <v>60000</v>
      </c>
      <c r="AP106">
        <f t="shared" si="19"/>
        <v>1185000</v>
      </c>
      <c r="AQ106">
        <f t="shared" ref="AQ106" si="20">SUM(AQ3:AQ105)</f>
        <v>1185000</v>
      </c>
      <c r="AR106">
        <f t="shared" ref="AR106" si="21">SUM(AR3:AR105)</f>
        <v>90000</v>
      </c>
      <c r="AS106">
        <f t="shared" ref="AS106" si="22">SUM(AS3:AS105)</f>
        <v>100000</v>
      </c>
      <c r="AT106">
        <f t="shared" ref="AT106" si="23">SUM(AT3:AT105)</f>
        <v>3280000</v>
      </c>
      <c r="AU106">
        <f t="shared" ref="AU106" si="24">SUM(AU3:AU105)</f>
        <v>180000</v>
      </c>
      <c r="AV106">
        <f t="shared" ref="AV106" si="25">SUM(AV3:AV105)</f>
        <v>100000</v>
      </c>
      <c r="AW106">
        <f t="shared" ref="AW106" si="26">SUM(AW3:AW105)</f>
        <v>1078000</v>
      </c>
      <c r="AX106">
        <f t="shared" ref="AX106" si="27">SUM(AX3:AX105)</f>
        <v>100000.00000000004</v>
      </c>
      <c r="AY106">
        <f t="shared" ref="AY106" si="28">SUM(AY3:AY105)</f>
        <v>240000</v>
      </c>
      <c r="AZ106">
        <f t="shared" ref="AZ106" si="29">SUM(AZ3:AZ105)</f>
        <v>396000</v>
      </c>
      <c r="BA106">
        <f t="shared" ref="BA106" si="30">SUM(BA3:BA105)</f>
        <v>50400</v>
      </c>
      <c r="BB106">
        <f t="shared" ref="BB106" si="31">SUM(BB3:BB105)</f>
        <v>374400</v>
      </c>
      <c r="BC106">
        <f t="shared" ref="BC106" si="32">SUM(BC3:BC105)</f>
        <v>180000</v>
      </c>
      <c r="BD106">
        <f t="shared" ref="BD106" si="33">SUM(BD3:BD105)</f>
        <v>2695000</v>
      </c>
      <c r="BE106">
        <f t="shared" ref="BE106" si="34">SUM(BE3:BE105)</f>
        <v>1078000</v>
      </c>
      <c r="BF106">
        <f t="shared" ref="BF106" si="35">SUM(BF3:BF105)</f>
        <v>72000</v>
      </c>
      <c r="BG106">
        <f t="shared" ref="BG106" si="36">SUM(BG3:BG105)</f>
        <v>259200</v>
      </c>
      <c r="BH106">
        <f t="shared" ref="BH106" si="37">SUM(BH3:BH105)</f>
        <v>2790000</v>
      </c>
      <c r="BI106">
        <f t="shared" ref="BI106" si="38">SUM(BI3:BI105)</f>
        <v>180000</v>
      </c>
      <c r="BJ106">
        <f>SUM(BJ3:BJ105)</f>
        <v>255000</v>
      </c>
      <c r="BK106">
        <f t="shared" ref="BK106" si="39">SUM(BK3:BK105)</f>
        <v>270000</v>
      </c>
      <c r="BL106">
        <f t="shared" ref="BL106" si="40">SUM(BL3:BL105)</f>
        <v>2983000</v>
      </c>
      <c r="BM106">
        <f t="shared" ref="BM106" si="41">SUM(BM3:BM105)</f>
        <v>1078000</v>
      </c>
      <c r="BN106">
        <f t="shared" ref="BN106" si="42">SUM(BN3:BN105)</f>
        <v>300000</v>
      </c>
      <c r="BO106">
        <f t="shared" ref="BO106" si="43">SUM(BO3:BO105)</f>
        <v>120000</v>
      </c>
      <c r="BP106">
        <f t="shared" ref="BP106" si="44">SUM(BP3:BP105)</f>
        <v>975000</v>
      </c>
      <c r="BQ106">
        <f t="shared" ref="BQ106" si="45">SUM(BQ3:BQ105)</f>
        <v>1185000</v>
      </c>
      <c r="BR106">
        <f t="shared" ref="BR106" si="46">SUM(BR3:BR105)</f>
        <v>288000</v>
      </c>
      <c r="BS106">
        <f t="shared" ref="BS106" si="47">SUM(BS3:BS105)</f>
        <v>240000</v>
      </c>
      <c r="BT106">
        <f t="shared" ref="BT106" si="48">SUM(BT3:BT105)</f>
        <v>150000</v>
      </c>
      <c r="BU106">
        <f t="shared" ref="BU106" si="49">SUM(BU3:BU105)</f>
        <v>210000</v>
      </c>
      <c r="BV106">
        <f t="shared" ref="BV106" si="50">SUM(BV3:BV105)</f>
        <v>3180000</v>
      </c>
      <c r="BW106">
        <f t="shared" ref="BW106" si="51">SUM(BW3:BW105)</f>
        <v>107000</v>
      </c>
      <c r="BX106">
        <f t="shared" ref="BX106" si="52">SUM(BX3:BX105)</f>
        <v>216000</v>
      </c>
      <c r="BY106">
        <f t="shared" ref="BY106" si="53">SUM(BY3:BY105)</f>
        <v>417600</v>
      </c>
      <c r="BZ106">
        <f t="shared" ref="BZ106" si="54">SUM(BZ3:BZ105)</f>
        <v>165000</v>
      </c>
      <c r="CA106">
        <f t="shared" ref="CA106" si="55">SUM(CA3:CA105)</f>
        <v>273600</v>
      </c>
      <c r="CB106">
        <f t="shared" ref="CB106" si="56">SUM(CB3:CB105)</f>
        <v>1185000</v>
      </c>
      <c r="CC106">
        <f t="shared" ref="CC106" si="57">SUM(CC3:CC105)</f>
        <v>136800</v>
      </c>
      <c r="CD106">
        <f t="shared" ref="CD106" si="58">SUM(CD3:CD105)</f>
        <v>270000</v>
      </c>
      <c r="CE106">
        <f t="shared" ref="CE106" si="59">SUM(CE3:CE105)</f>
        <v>172800</v>
      </c>
      <c r="CF106">
        <f t="shared" ref="CF106" si="60">SUM(CF3:CF105)</f>
        <v>151000</v>
      </c>
      <c r="CG106">
        <f t="shared" ref="CG106" si="61">SUM(CG3:CG105)</f>
        <v>1185000</v>
      </c>
      <c r="CH106">
        <f t="shared" ref="CH106" si="62">SUM(CH3:CH105)</f>
        <v>150000</v>
      </c>
      <c r="CI106">
        <f t="shared" ref="CI106" si="63">SUM(CI3:CI105)</f>
        <v>150000</v>
      </c>
      <c r="CJ106">
        <f t="shared" ref="CJ106" si="64">SUM(CJ3:CJ105)</f>
        <v>210000</v>
      </c>
      <c r="CK106">
        <f t="shared" ref="CK106" si="65">SUM(CK3:CK105)</f>
        <v>90000</v>
      </c>
      <c r="CL106">
        <f t="shared" ref="CL106" si="66">SUM(CL3:CL105)</f>
        <v>520000</v>
      </c>
      <c r="CM106">
        <f t="shared" ref="CM106" si="67">SUM(CM3:CM105)</f>
        <v>561000</v>
      </c>
      <c r="CN106">
        <f t="shared" ref="CN106" si="68">SUM(CN3:CN105)</f>
        <v>158400</v>
      </c>
      <c r="CO106">
        <f t="shared" ref="CO106" si="69">SUM(CO3:CO105)</f>
        <v>21600</v>
      </c>
      <c r="CP106">
        <f t="shared" ref="CP106" si="70">SUM(CP3:CP105)</f>
        <v>270000</v>
      </c>
      <c r="CQ106">
        <f t="shared" ref="CQ106" si="71">SUM(CQ3:CQ105)</f>
        <v>338400</v>
      </c>
      <c r="CR106">
        <f t="shared" ref="CR106" si="72">SUM(CR3:CR105)</f>
        <v>223200</v>
      </c>
      <c r="CS106">
        <f t="shared" ref="CS106" si="73">SUM(CS3:CS105)</f>
        <v>100800</v>
      </c>
      <c r="CT106">
        <f t="shared" ref="CT106" si="74">SUM(CT3:CT105)</f>
        <v>90000</v>
      </c>
      <c r="CU106">
        <f t="shared" ref="CU106" si="75">SUM(CU3:CU105)</f>
        <v>237600</v>
      </c>
      <c r="CV106">
        <f t="shared" ref="CV106" si="76">SUM(CV3:CV105)</f>
        <v>424800</v>
      </c>
      <c r="CW106">
        <f t="shared" ref="CW106" si="77">SUM(CW3:CW105)</f>
        <v>144000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104"/>
  <sheetViews>
    <sheetView tabSelected="1" workbookViewId="0">
      <selection activeCell="Q8" sqref="Q8"/>
    </sheetView>
  </sheetViews>
  <sheetFormatPr defaultRowHeight="14.4" x14ac:dyDescent="0.3"/>
  <cols>
    <col min="1" max="1" width="20" bestFit="1" customWidth="1"/>
    <col min="2" max="2" width="7.6640625" bestFit="1" customWidth="1"/>
    <col min="3" max="3" width="13.88671875" bestFit="1" customWidth="1"/>
    <col min="4" max="4" width="20.21875" bestFit="1" customWidth="1"/>
    <col min="6" max="6" width="10.5546875" bestFit="1" customWidth="1"/>
  </cols>
  <sheetData>
    <row r="2" spans="1:13" x14ac:dyDescent="0.3">
      <c r="A2" s="7" t="s">
        <v>124</v>
      </c>
      <c r="D2" s="7" t="s">
        <v>127</v>
      </c>
    </row>
    <row r="3" spans="1:13" x14ac:dyDescent="0.3">
      <c r="E3" s="10" t="s">
        <v>125</v>
      </c>
      <c r="F3" s="10">
        <v>1</v>
      </c>
      <c r="G3" s="10">
        <v>2</v>
      </c>
      <c r="H3" s="10">
        <v>3</v>
      </c>
      <c r="I3" s="10">
        <v>4</v>
      </c>
      <c r="J3" s="10">
        <v>5</v>
      </c>
      <c r="K3" s="10">
        <v>6</v>
      </c>
      <c r="L3" s="10">
        <v>7</v>
      </c>
      <c r="M3" s="10" t="s">
        <v>128</v>
      </c>
    </row>
    <row r="4" spans="1:13" x14ac:dyDescent="0.3">
      <c r="B4" s="1" t="s">
        <v>125</v>
      </c>
      <c r="C4" s="1" t="s">
        <v>6</v>
      </c>
      <c r="D4" s="9"/>
      <c r="E4" s="1" t="s">
        <v>3</v>
      </c>
      <c r="F4" s="2"/>
      <c r="G4" s="2"/>
      <c r="H4" s="2"/>
      <c r="I4" s="2"/>
      <c r="J4" s="2"/>
      <c r="K4" s="2"/>
      <c r="L4" s="2"/>
      <c r="M4" s="2"/>
    </row>
    <row r="5" spans="1:13" x14ac:dyDescent="0.3">
      <c r="B5" s="2">
        <v>1</v>
      </c>
      <c r="C5" s="8">
        <f>SUMIF('All Payments'!$B$2:$CW$2,"=1",'All Payments'!$B$106:$CW$106)</f>
        <v>3930000</v>
      </c>
      <c r="E5" s="2">
        <v>1</v>
      </c>
      <c r="F5" s="11">
        <f>SUMIF('All Payments'!$2:$2,F$3,'All Payments'!3:3)</f>
        <v>0</v>
      </c>
      <c r="G5" s="11">
        <f>SUMIF('All Payments'!$2:$2,G$3,'All Payments'!3:3)</f>
        <v>0</v>
      </c>
      <c r="H5" s="11">
        <f>SUMIF('All Payments'!$2:$2,H$3,'All Payments'!3:3)</f>
        <v>7200</v>
      </c>
      <c r="I5" s="11">
        <f>SUMIF('All Payments'!$2:$2,I$3,'All Payments'!3:3)</f>
        <v>0</v>
      </c>
      <c r="J5" s="11">
        <f>SUMIF('All Payments'!$2:$2,J$3,'All Payments'!3:3)</f>
        <v>0</v>
      </c>
      <c r="K5" s="11">
        <f>SUMIF('All Payments'!$2:$2,K$3,'All Payments'!3:3)</f>
        <v>0</v>
      </c>
      <c r="L5" s="11">
        <f>SUMIF('All Payments'!$2:$2,L$3,'All Payments'!3:3)</f>
        <v>0</v>
      </c>
      <c r="M5" s="11">
        <f>SUM(F5:L5)</f>
        <v>7200</v>
      </c>
    </row>
    <row r="6" spans="1:13" x14ac:dyDescent="0.3">
      <c r="B6" s="2">
        <v>2</v>
      </c>
      <c r="C6" s="8">
        <f>SUMIF('All Payments'!$B$2:$CW$2,"=2",'All Payments'!$B$106:$CW$106)</f>
        <v>17429000</v>
      </c>
      <c r="E6" s="2">
        <v>2</v>
      </c>
      <c r="F6" s="11">
        <f>SUMIF('All Payments'!$2:$2,F$3,'All Payments'!4:4)</f>
        <v>15000</v>
      </c>
      <c r="G6" s="11">
        <f>SUMIF('All Payments'!$2:$2,G$3,'All Payments'!4:4)</f>
        <v>0</v>
      </c>
      <c r="H6" s="11">
        <f>SUMIF('All Payments'!$2:$2,H$3,'All Payments'!4:4)</f>
        <v>7200</v>
      </c>
      <c r="I6" s="11">
        <f>SUMIF('All Payments'!$2:$2,I$3,'All Payments'!4:4)</f>
        <v>0</v>
      </c>
      <c r="J6" s="11">
        <f>SUMIF('All Payments'!$2:$2,J$3,'All Payments'!4:4)</f>
        <v>19000</v>
      </c>
      <c r="K6" s="11">
        <f>SUMIF('All Payments'!$2:$2,K$3,'All Payments'!4:4)</f>
        <v>0</v>
      </c>
      <c r="L6" s="11">
        <f>SUMIF('All Payments'!$2:$2,L$3,'All Payments'!4:4)</f>
        <v>0</v>
      </c>
      <c r="M6" s="11">
        <f t="shared" ref="M6:M69" si="0">SUM(F6:L6)</f>
        <v>41200</v>
      </c>
    </row>
    <row r="7" spans="1:13" x14ac:dyDescent="0.3">
      <c r="B7" s="2">
        <v>3</v>
      </c>
      <c r="C7" s="8">
        <f>SUMIF('All Payments'!$B$2:$CW$2,"=3",'All Payments'!$B$106:$CW$106)</f>
        <v>5306400</v>
      </c>
      <c r="E7" s="2">
        <v>3</v>
      </c>
      <c r="F7" s="11">
        <f>SUMIF('All Payments'!$2:$2,F$3,'All Payments'!5:5)</f>
        <v>15000</v>
      </c>
      <c r="G7" s="11">
        <f>SUMIF('All Payments'!$2:$2,G$3,'All Payments'!5:5)</f>
        <v>0</v>
      </c>
      <c r="H7" s="11">
        <f>SUMIF('All Payments'!$2:$2,H$3,'All Payments'!5:5)</f>
        <v>7200</v>
      </c>
      <c r="I7" s="11">
        <f>SUMIF('All Payments'!$2:$2,I$3,'All Payments'!5:5)</f>
        <v>0</v>
      </c>
      <c r="J7" s="11">
        <f>SUMIF('All Payments'!$2:$2,J$3,'All Payments'!5:5)</f>
        <v>19000</v>
      </c>
      <c r="K7" s="11">
        <f>SUMIF('All Payments'!$2:$2,K$3,'All Payments'!5:5)</f>
        <v>0</v>
      </c>
      <c r="L7" s="11">
        <f>SUMIF('All Payments'!$2:$2,L$3,'All Payments'!5:5)</f>
        <v>0</v>
      </c>
      <c r="M7" s="11">
        <f t="shared" si="0"/>
        <v>41200</v>
      </c>
    </row>
    <row r="8" spans="1:13" x14ac:dyDescent="0.3">
      <c r="B8" s="2">
        <v>4</v>
      </c>
      <c r="C8" s="8">
        <f>SUMIF('All Payments'!$B$2:$CW$2,"=4",'All Payments'!$B$106:$CW$106)</f>
        <v>25967000</v>
      </c>
      <c r="E8" s="2">
        <v>4</v>
      </c>
      <c r="F8" s="11">
        <f>SUMIF('All Payments'!$2:$2,F$3,'All Payments'!6:6)</f>
        <v>30000</v>
      </c>
      <c r="G8" s="11">
        <f>SUMIF('All Payments'!$2:$2,G$3,'All Payments'!6:6)</f>
        <v>0</v>
      </c>
      <c r="H8" s="11">
        <f>SUMIF('All Payments'!$2:$2,H$3,'All Payments'!6:6)</f>
        <v>7200</v>
      </c>
      <c r="I8" s="11">
        <f>SUMIF('All Payments'!$2:$2,I$3,'All Payments'!6:6)</f>
        <v>0</v>
      </c>
      <c r="J8" s="11">
        <f>SUMIF('All Payments'!$2:$2,J$3,'All Payments'!6:6)</f>
        <v>19000</v>
      </c>
      <c r="K8" s="11">
        <f>SUMIF('All Payments'!$2:$2,K$3,'All Payments'!6:6)</f>
        <v>0</v>
      </c>
      <c r="L8" s="11">
        <f>SUMIF('All Payments'!$2:$2,L$3,'All Payments'!6:6)</f>
        <v>0</v>
      </c>
      <c r="M8" s="11">
        <f t="shared" si="0"/>
        <v>56200</v>
      </c>
    </row>
    <row r="9" spans="1:13" x14ac:dyDescent="0.3">
      <c r="B9" s="2">
        <v>5</v>
      </c>
      <c r="C9" s="8">
        <f>SUMIF('All Payments'!$B$2:$CW$2,"=5",'All Payments'!$B$106:$CW$106)</f>
        <v>2867000</v>
      </c>
      <c r="E9" s="2">
        <v>5</v>
      </c>
      <c r="F9" s="11">
        <f>SUMIF('All Payments'!$2:$2,F$3,'All Payments'!7:7)</f>
        <v>30000</v>
      </c>
      <c r="G9" s="11">
        <f>SUMIF('All Payments'!$2:$2,G$3,'All Payments'!7:7)</f>
        <v>0</v>
      </c>
      <c r="H9" s="11">
        <f>SUMIF('All Payments'!$2:$2,H$3,'All Payments'!7:7)</f>
        <v>7200</v>
      </c>
      <c r="I9" s="11">
        <f>SUMIF('All Payments'!$2:$2,I$3,'All Payments'!7:7)</f>
        <v>0</v>
      </c>
      <c r="J9" s="11">
        <f>SUMIF('All Payments'!$2:$2,J$3,'All Payments'!7:7)</f>
        <v>19000</v>
      </c>
      <c r="K9" s="11">
        <f>SUMIF('All Payments'!$2:$2,K$3,'All Payments'!7:7)</f>
        <v>0</v>
      </c>
      <c r="L9" s="11">
        <f>SUMIF('All Payments'!$2:$2,L$3,'All Payments'!7:7)</f>
        <v>60000</v>
      </c>
      <c r="M9" s="11">
        <f t="shared" si="0"/>
        <v>116200</v>
      </c>
    </row>
    <row r="10" spans="1:13" x14ac:dyDescent="0.3">
      <c r="B10" s="2">
        <v>6</v>
      </c>
      <c r="C10" s="8">
        <f>SUMIF('All Payments'!$B$2:$CW$2,"=6",'All Payments'!$B$106:$CW$106)</f>
        <v>500000.00000000006</v>
      </c>
      <c r="E10" s="2">
        <v>6</v>
      </c>
      <c r="F10" s="11">
        <f>SUMIF('All Payments'!$2:$2,F$3,'All Payments'!8:8)</f>
        <v>30000</v>
      </c>
      <c r="G10" s="11">
        <f>SUMIF('All Payments'!$2:$2,G$3,'All Payments'!8:8)</f>
        <v>0</v>
      </c>
      <c r="H10" s="11">
        <f>SUMIF('All Payments'!$2:$2,H$3,'All Payments'!8:8)</f>
        <v>7200</v>
      </c>
      <c r="I10" s="11">
        <f>SUMIF('All Payments'!$2:$2,I$3,'All Payments'!8:8)</f>
        <v>0</v>
      </c>
      <c r="J10" s="11">
        <f>SUMIF('All Payments'!$2:$2,J$3,'All Payments'!8:8)</f>
        <v>38000</v>
      </c>
      <c r="K10" s="11">
        <f>SUMIF('All Payments'!$2:$2,K$3,'All Payments'!8:8)</f>
        <v>0</v>
      </c>
      <c r="L10" s="11">
        <f>SUMIF('All Payments'!$2:$2,L$3,'All Payments'!8:8)</f>
        <v>0</v>
      </c>
      <c r="M10" s="11">
        <f t="shared" si="0"/>
        <v>75200</v>
      </c>
    </row>
    <row r="11" spans="1:13" x14ac:dyDescent="0.3">
      <c r="B11" s="2">
        <v>7</v>
      </c>
      <c r="C11" s="8">
        <f>SUMIF('All Payments'!$B$2:$CW$2,"=7",'All Payments'!$B$106:$CW$106)</f>
        <v>2910000</v>
      </c>
      <c r="E11" s="2">
        <v>7</v>
      </c>
      <c r="F11" s="11">
        <f>SUMIF('All Payments'!$2:$2,F$3,'All Payments'!9:9)</f>
        <v>45000</v>
      </c>
      <c r="G11" s="11">
        <f>SUMIF('All Payments'!$2:$2,G$3,'All Payments'!9:9)</f>
        <v>0</v>
      </c>
      <c r="H11" s="11">
        <f>SUMIF('All Payments'!$2:$2,H$3,'All Payments'!9:9)</f>
        <v>14400</v>
      </c>
      <c r="I11" s="11">
        <f>SUMIF('All Payments'!$2:$2,I$3,'All Payments'!9:9)</f>
        <v>0</v>
      </c>
      <c r="J11" s="11">
        <f>SUMIF('All Payments'!$2:$2,J$3,'All Payments'!9:9)</f>
        <v>38000</v>
      </c>
      <c r="K11" s="11">
        <f>SUMIF('All Payments'!$2:$2,K$3,'All Payments'!9:9)</f>
        <v>0</v>
      </c>
      <c r="L11" s="11">
        <f>SUMIF('All Payments'!$2:$2,L$3,'All Payments'!9:9)</f>
        <v>90000</v>
      </c>
      <c r="M11" s="11">
        <f t="shared" si="0"/>
        <v>187400</v>
      </c>
    </row>
    <row r="12" spans="1:13" x14ac:dyDescent="0.3">
      <c r="B12" s="1" t="s">
        <v>126</v>
      </c>
      <c r="C12" s="8">
        <f>SUM(C5:C11)</f>
        <v>58909400</v>
      </c>
      <c r="E12" s="2">
        <v>8</v>
      </c>
      <c r="F12" s="11">
        <f>SUMIF('All Payments'!$2:$2,F$3,'All Payments'!10:10)</f>
        <v>45000</v>
      </c>
      <c r="G12" s="11">
        <f>SUMIF('All Payments'!$2:$2,G$3,'All Payments'!10:10)</f>
        <v>0</v>
      </c>
      <c r="H12" s="11">
        <f>SUMIF('All Payments'!$2:$2,H$3,'All Payments'!10:10)</f>
        <v>14400</v>
      </c>
      <c r="I12" s="11">
        <f>SUMIF('All Payments'!$2:$2,I$3,'All Payments'!10:10)</f>
        <v>0</v>
      </c>
      <c r="J12" s="11">
        <f>SUMIF('All Payments'!$2:$2,J$3,'All Payments'!10:10)</f>
        <v>38000</v>
      </c>
      <c r="K12" s="11">
        <f>SUMIF('All Payments'!$2:$2,K$3,'All Payments'!10:10)</f>
        <v>0</v>
      </c>
      <c r="L12" s="11">
        <f>SUMIF('All Payments'!$2:$2,L$3,'All Payments'!10:10)</f>
        <v>0</v>
      </c>
      <c r="M12" s="11">
        <f t="shared" si="0"/>
        <v>97400</v>
      </c>
    </row>
    <row r="13" spans="1:13" x14ac:dyDescent="0.3">
      <c r="E13" s="2">
        <v>9</v>
      </c>
      <c r="F13" s="11">
        <f>SUMIF('All Payments'!$2:$2,F$3,'All Payments'!11:11)</f>
        <v>45000</v>
      </c>
      <c r="G13" s="11">
        <f>SUMIF('All Payments'!$2:$2,G$3,'All Payments'!11:11)</f>
        <v>0</v>
      </c>
      <c r="H13" s="11">
        <f>SUMIF('All Payments'!$2:$2,H$3,'All Payments'!11:11)</f>
        <v>28800</v>
      </c>
      <c r="I13" s="11">
        <f>SUMIF('All Payments'!$2:$2,I$3,'All Payments'!11:11)</f>
        <v>0</v>
      </c>
      <c r="J13" s="11">
        <f>SUMIF('All Payments'!$2:$2,J$3,'All Payments'!11:11)</f>
        <v>38000</v>
      </c>
      <c r="K13" s="11">
        <f>SUMIF('All Payments'!$2:$2,K$3,'All Payments'!11:11)</f>
        <v>0</v>
      </c>
      <c r="L13" s="11">
        <f>SUMIF('All Payments'!$2:$2,L$3,'All Payments'!11:11)</f>
        <v>120000</v>
      </c>
      <c r="M13" s="11">
        <f t="shared" si="0"/>
        <v>231800</v>
      </c>
    </row>
    <row r="14" spans="1:13" x14ac:dyDescent="0.3">
      <c r="E14" s="2">
        <v>10</v>
      </c>
      <c r="F14" s="11">
        <f>SUMIF('All Payments'!$2:$2,F$3,'All Payments'!12:12)</f>
        <v>75000</v>
      </c>
      <c r="G14" s="11">
        <f>SUMIF('All Payments'!$2:$2,G$3,'All Payments'!12:12)</f>
        <v>0</v>
      </c>
      <c r="H14" s="11">
        <f>SUMIF('All Payments'!$2:$2,H$3,'All Payments'!12:12)</f>
        <v>36000</v>
      </c>
      <c r="I14" s="11">
        <f>SUMIF('All Payments'!$2:$2,I$3,'All Payments'!12:12)</f>
        <v>0</v>
      </c>
      <c r="J14" s="11">
        <f>SUMIF('All Payments'!$2:$2,J$3,'All Payments'!12:12)</f>
        <v>44000</v>
      </c>
      <c r="K14" s="11">
        <f>SUMIF('All Payments'!$2:$2,K$3,'All Payments'!12:12)</f>
        <v>0</v>
      </c>
      <c r="L14" s="11">
        <f>SUMIF('All Payments'!$2:$2,L$3,'All Payments'!12:12)</f>
        <v>0</v>
      </c>
      <c r="M14" s="11">
        <f t="shared" si="0"/>
        <v>155000</v>
      </c>
    </row>
    <row r="15" spans="1:13" x14ac:dyDescent="0.3">
      <c r="E15" s="2">
        <v>11</v>
      </c>
      <c r="F15" s="11">
        <f>SUMIF('All Payments'!$2:$2,F$3,'All Payments'!13:13)</f>
        <v>75000</v>
      </c>
      <c r="G15" s="11">
        <f>SUMIF('All Payments'!$2:$2,G$3,'All Payments'!13:13)</f>
        <v>0</v>
      </c>
      <c r="H15" s="11">
        <f>SUMIF('All Payments'!$2:$2,H$3,'All Payments'!13:13)</f>
        <v>36000</v>
      </c>
      <c r="I15" s="11">
        <f>SUMIF('All Payments'!$2:$2,I$3,'All Payments'!13:13)</f>
        <v>0</v>
      </c>
      <c r="J15" s="11">
        <f>SUMIF('All Payments'!$2:$2,J$3,'All Payments'!13:13)</f>
        <v>50000</v>
      </c>
      <c r="K15" s="11">
        <f>SUMIF('All Payments'!$2:$2,K$3,'All Payments'!13:13)</f>
        <v>5000</v>
      </c>
      <c r="L15" s="11">
        <f>SUMIF('All Payments'!$2:$2,L$3,'All Payments'!13:13)</f>
        <v>120000</v>
      </c>
      <c r="M15" s="11">
        <f t="shared" si="0"/>
        <v>286000</v>
      </c>
    </row>
    <row r="16" spans="1:13" x14ac:dyDescent="0.3">
      <c r="E16" s="2">
        <v>12</v>
      </c>
      <c r="F16" s="11">
        <f>SUMIF('All Payments'!$2:$2,F$3,'All Payments'!14:14)</f>
        <v>75000</v>
      </c>
      <c r="G16" s="11">
        <f>SUMIF('All Payments'!$2:$2,G$3,'All Payments'!14:14)</f>
        <v>0</v>
      </c>
      <c r="H16" s="11">
        <f>SUMIF('All Payments'!$2:$2,H$3,'All Payments'!14:14)</f>
        <v>36000</v>
      </c>
      <c r="I16" s="11">
        <f>SUMIF('All Payments'!$2:$2,I$3,'All Payments'!14:14)</f>
        <v>0</v>
      </c>
      <c r="J16" s="11">
        <f>SUMIF('All Payments'!$2:$2,J$3,'All Payments'!14:14)</f>
        <v>50000</v>
      </c>
      <c r="K16" s="11">
        <f>SUMIF('All Payments'!$2:$2,K$3,'All Payments'!14:14)</f>
        <v>5000</v>
      </c>
      <c r="L16" s="11">
        <f>SUMIF('All Payments'!$2:$2,L$3,'All Payments'!14:14)</f>
        <v>0</v>
      </c>
      <c r="M16" s="11">
        <f t="shared" si="0"/>
        <v>166000</v>
      </c>
    </row>
    <row r="17" spans="5:13" x14ac:dyDescent="0.3">
      <c r="E17" s="2">
        <v>13</v>
      </c>
      <c r="F17" s="11">
        <f>SUMIF('All Payments'!$2:$2,F$3,'All Payments'!15:15)</f>
        <v>90000</v>
      </c>
      <c r="G17" s="11">
        <f>SUMIF('All Payments'!$2:$2,G$3,'All Payments'!15:15)</f>
        <v>0</v>
      </c>
      <c r="H17" s="11">
        <f>SUMIF('All Payments'!$2:$2,H$3,'All Payments'!15:15)</f>
        <v>36000</v>
      </c>
      <c r="I17" s="11">
        <f>SUMIF('All Payments'!$2:$2,I$3,'All Payments'!15:15)</f>
        <v>0</v>
      </c>
      <c r="J17" s="11">
        <f>SUMIF('All Payments'!$2:$2,J$3,'All Payments'!15:15)</f>
        <v>25000</v>
      </c>
      <c r="K17" s="11">
        <f>SUMIF('All Payments'!$2:$2,K$3,'All Payments'!15:15)</f>
        <v>5000</v>
      </c>
      <c r="L17" s="11">
        <f>SUMIF('All Payments'!$2:$2,L$3,'All Payments'!15:15)</f>
        <v>120000</v>
      </c>
      <c r="M17" s="11">
        <f t="shared" si="0"/>
        <v>276000</v>
      </c>
    </row>
    <row r="18" spans="5:13" x14ac:dyDescent="0.3">
      <c r="E18" s="2">
        <v>14</v>
      </c>
      <c r="F18" s="11">
        <f>SUMIF('All Payments'!$2:$2,F$3,'All Payments'!16:16)</f>
        <v>105000</v>
      </c>
      <c r="G18" s="11">
        <f>SUMIF('All Payments'!$2:$2,G$3,'All Payments'!16:16)</f>
        <v>0</v>
      </c>
      <c r="H18" s="11">
        <f>SUMIF('All Payments'!$2:$2,H$3,'All Payments'!16:16)</f>
        <v>36000</v>
      </c>
      <c r="I18" s="11">
        <f>SUMIF('All Payments'!$2:$2,I$3,'All Payments'!16:16)</f>
        <v>0</v>
      </c>
      <c r="J18" s="11">
        <f>SUMIF('All Payments'!$2:$2,J$3,'All Payments'!16:16)</f>
        <v>44000</v>
      </c>
      <c r="K18" s="11">
        <f>SUMIF('All Payments'!$2:$2,K$3,'All Payments'!16:16)</f>
        <v>5000</v>
      </c>
      <c r="L18" s="11">
        <f>SUMIF('All Payments'!$2:$2,L$3,'All Payments'!16:16)</f>
        <v>0</v>
      </c>
      <c r="M18" s="11">
        <f t="shared" si="0"/>
        <v>190000</v>
      </c>
    </row>
    <row r="19" spans="5:13" x14ac:dyDescent="0.3">
      <c r="E19" s="2">
        <v>15</v>
      </c>
      <c r="F19" s="11">
        <f>SUMIF('All Payments'!$2:$2,F$3,'All Payments'!17:17)</f>
        <v>105000</v>
      </c>
      <c r="G19" s="11">
        <f>SUMIF('All Payments'!$2:$2,G$3,'All Payments'!17:17)</f>
        <v>0</v>
      </c>
      <c r="H19" s="11">
        <f>SUMIF('All Payments'!$2:$2,H$3,'All Payments'!17:17)</f>
        <v>36000</v>
      </c>
      <c r="I19" s="11">
        <f>SUMIF('All Payments'!$2:$2,I$3,'All Payments'!17:17)</f>
        <v>0</v>
      </c>
      <c r="J19" s="11">
        <f>SUMIF('All Payments'!$2:$2,J$3,'All Payments'!17:17)</f>
        <v>44000</v>
      </c>
      <c r="K19" s="11">
        <f>SUMIF('All Payments'!$2:$2,K$3,'All Payments'!17:17)</f>
        <v>5000</v>
      </c>
      <c r="L19" s="11">
        <f>SUMIF('All Payments'!$2:$2,L$3,'All Payments'!17:17)</f>
        <v>90000</v>
      </c>
      <c r="M19" s="11">
        <f t="shared" si="0"/>
        <v>280000</v>
      </c>
    </row>
    <row r="20" spans="5:13" x14ac:dyDescent="0.3">
      <c r="E20" s="2">
        <v>16</v>
      </c>
      <c r="F20" s="11">
        <f>SUMIF('All Payments'!$2:$2,F$3,'All Payments'!18:18)</f>
        <v>120000</v>
      </c>
      <c r="G20" s="11">
        <f>SUMIF('All Payments'!$2:$2,G$3,'All Payments'!18:18)</f>
        <v>0</v>
      </c>
      <c r="H20" s="11">
        <f>SUMIF('All Payments'!$2:$2,H$3,'All Payments'!18:18)</f>
        <v>36000</v>
      </c>
      <c r="I20" s="11">
        <f>SUMIF('All Payments'!$2:$2,I$3,'All Payments'!18:18)</f>
        <v>0</v>
      </c>
      <c r="J20" s="11">
        <f>SUMIF('All Payments'!$2:$2,J$3,'All Payments'!18:18)</f>
        <v>63000</v>
      </c>
      <c r="K20" s="11">
        <f>SUMIF('All Payments'!$2:$2,K$3,'All Payments'!18:18)</f>
        <v>25000</v>
      </c>
      <c r="L20" s="11">
        <f>SUMIF('All Payments'!$2:$2,L$3,'All Payments'!18:18)</f>
        <v>60000</v>
      </c>
      <c r="M20" s="11">
        <f t="shared" si="0"/>
        <v>304000</v>
      </c>
    </row>
    <row r="21" spans="5:13" x14ac:dyDescent="0.3">
      <c r="E21" s="2">
        <v>17</v>
      </c>
      <c r="F21" s="11">
        <f>SUMIF('All Payments'!$2:$2,F$3,'All Payments'!19:19)</f>
        <v>135000</v>
      </c>
      <c r="G21" s="11">
        <f>SUMIF('All Payments'!$2:$2,G$3,'All Payments'!19:19)</f>
        <v>0</v>
      </c>
      <c r="H21" s="11">
        <f>SUMIF('All Payments'!$2:$2,H$3,'All Payments'!19:19)</f>
        <v>43200</v>
      </c>
      <c r="I21" s="11">
        <f>SUMIF('All Payments'!$2:$2,I$3,'All Payments'!19:19)</f>
        <v>0</v>
      </c>
      <c r="J21" s="11">
        <f>SUMIF('All Payments'!$2:$2,J$3,'All Payments'!19:19)</f>
        <v>63000</v>
      </c>
      <c r="K21" s="11">
        <f>SUMIF('All Payments'!$2:$2,K$3,'All Payments'!19:19)</f>
        <v>30000</v>
      </c>
      <c r="L21" s="11">
        <f>SUMIF('All Payments'!$2:$2,L$3,'All Payments'!19:19)</f>
        <v>90000</v>
      </c>
      <c r="M21" s="11">
        <f t="shared" si="0"/>
        <v>361200</v>
      </c>
    </row>
    <row r="22" spans="5:13" x14ac:dyDescent="0.3">
      <c r="E22" s="2">
        <v>18</v>
      </c>
      <c r="F22" s="11">
        <f>SUMIF('All Payments'!$2:$2,F$3,'All Payments'!20:20)</f>
        <v>135000</v>
      </c>
      <c r="G22" s="11">
        <f>SUMIF('All Payments'!$2:$2,G$3,'All Payments'!20:20)</f>
        <v>0</v>
      </c>
      <c r="H22" s="11">
        <f>SUMIF('All Payments'!$2:$2,H$3,'All Payments'!20:20)</f>
        <v>50400</v>
      </c>
      <c r="I22" s="11">
        <f>SUMIF('All Payments'!$2:$2,I$3,'All Payments'!20:20)</f>
        <v>0</v>
      </c>
      <c r="J22" s="11">
        <f>SUMIF('All Payments'!$2:$2,J$3,'All Payments'!20:20)</f>
        <v>63000</v>
      </c>
      <c r="K22" s="11">
        <f>SUMIF('All Payments'!$2:$2,K$3,'All Payments'!20:20)</f>
        <v>30000</v>
      </c>
      <c r="L22" s="11">
        <f>SUMIF('All Payments'!$2:$2,L$3,'All Payments'!20:20)</f>
        <v>90000</v>
      </c>
      <c r="M22" s="11">
        <f t="shared" si="0"/>
        <v>368400</v>
      </c>
    </row>
    <row r="23" spans="5:13" x14ac:dyDescent="0.3">
      <c r="E23" s="2">
        <v>19</v>
      </c>
      <c r="F23" s="11">
        <f>SUMIF('All Payments'!$2:$2,F$3,'All Payments'!21:21)</f>
        <v>135000</v>
      </c>
      <c r="G23" s="11">
        <f>SUMIF('All Payments'!$2:$2,G$3,'All Payments'!21:21)</f>
        <v>0</v>
      </c>
      <c r="H23" s="11">
        <f>SUMIF('All Payments'!$2:$2,H$3,'All Payments'!21:21)</f>
        <v>64800</v>
      </c>
      <c r="I23" s="11">
        <f>SUMIF('All Payments'!$2:$2,I$3,'All Payments'!21:21)</f>
        <v>540000</v>
      </c>
      <c r="J23" s="11">
        <f>SUMIF('All Payments'!$2:$2,J$3,'All Payments'!21:21)</f>
        <v>63000</v>
      </c>
      <c r="K23" s="11">
        <f>SUMIF('All Payments'!$2:$2,K$3,'All Payments'!21:21)</f>
        <v>30000</v>
      </c>
      <c r="L23" s="11">
        <f>SUMIF('All Payments'!$2:$2,L$3,'All Payments'!21:21)</f>
        <v>120000</v>
      </c>
      <c r="M23" s="11">
        <f t="shared" si="0"/>
        <v>952800</v>
      </c>
    </row>
    <row r="24" spans="5:13" x14ac:dyDescent="0.3">
      <c r="E24" s="2">
        <v>20</v>
      </c>
      <c r="F24" s="11">
        <f>SUMIF('All Payments'!$2:$2,F$3,'All Payments'!22:22)</f>
        <v>120000</v>
      </c>
      <c r="G24" s="11">
        <f>SUMIF('All Payments'!$2:$2,G$3,'All Payments'!22:22)</f>
        <v>0</v>
      </c>
      <c r="H24" s="11">
        <f>SUMIF('All Payments'!$2:$2,H$3,'All Payments'!22:22)</f>
        <v>64800</v>
      </c>
      <c r="I24" s="11">
        <f>SUMIF('All Payments'!$2:$2,I$3,'All Payments'!22:22)</f>
        <v>549000</v>
      </c>
      <c r="J24" s="11">
        <f>SUMIF('All Payments'!$2:$2,J$3,'All Payments'!22:22)</f>
        <v>82000</v>
      </c>
      <c r="K24" s="11">
        <f>SUMIF('All Payments'!$2:$2,K$3,'All Payments'!22:22)</f>
        <v>30000</v>
      </c>
      <c r="L24" s="11">
        <f>SUMIF('All Payments'!$2:$2,L$3,'All Payments'!22:22)</f>
        <v>150000</v>
      </c>
      <c r="M24" s="11">
        <f t="shared" si="0"/>
        <v>995800</v>
      </c>
    </row>
    <row r="25" spans="5:13" x14ac:dyDescent="0.3">
      <c r="E25" s="2">
        <v>21</v>
      </c>
      <c r="F25" s="11">
        <f>SUMIF('All Payments'!$2:$2,F$3,'All Payments'!23:23)</f>
        <v>105000</v>
      </c>
      <c r="G25" s="11">
        <f>SUMIF('All Payments'!$2:$2,G$3,'All Payments'!23:23)</f>
        <v>0</v>
      </c>
      <c r="H25" s="11">
        <f>SUMIF('All Payments'!$2:$2,H$3,'All Payments'!23:23)</f>
        <v>72000</v>
      </c>
      <c r="I25" s="11">
        <f>SUMIF('All Payments'!$2:$2,I$3,'All Payments'!23:23)</f>
        <v>558000</v>
      </c>
      <c r="J25" s="11">
        <f>SUMIF('All Payments'!$2:$2,J$3,'All Payments'!23:23)</f>
        <v>57000</v>
      </c>
      <c r="K25" s="11">
        <f>SUMIF('All Payments'!$2:$2,K$3,'All Payments'!23:23)</f>
        <v>10000</v>
      </c>
      <c r="L25" s="11">
        <f>SUMIF('All Payments'!$2:$2,L$3,'All Payments'!23:23)</f>
        <v>90000</v>
      </c>
      <c r="M25" s="11">
        <f t="shared" si="0"/>
        <v>892000</v>
      </c>
    </row>
    <row r="26" spans="5:13" x14ac:dyDescent="0.3">
      <c r="E26" s="2">
        <v>22</v>
      </c>
      <c r="F26" s="11">
        <f>SUMIF('All Payments'!$2:$2,F$3,'All Payments'!24:24)</f>
        <v>90000</v>
      </c>
      <c r="G26" s="11">
        <f>SUMIF('All Payments'!$2:$2,G$3,'All Payments'!24:24)</f>
        <v>0</v>
      </c>
      <c r="H26" s="11">
        <f>SUMIF('All Payments'!$2:$2,H$3,'All Payments'!24:24)</f>
        <v>72000</v>
      </c>
      <c r="I26" s="11">
        <f>SUMIF('All Payments'!$2:$2,I$3,'All Payments'!24:24)</f>
        <v>567000</v>
      </c>
      <c r="J26" s="11">
        <f>SUMIF('All Payments'!$2:$2,J$3,'All Payments'!24:24)</f>
        <v>76000</v>
      </c>
      <c r="K26" s="11">
        <f>SUMIF('All Payments'!$2:$2,K$3,'All Payments'!24:24)</f>
        <v>10000</v>
      </c>
      <c r="L26" s="11">
        <f>SUMIF('All Payments'!$2:$2,L$3,'All Payments'!24:24)</f>
        <v>180000</v>
      </c>
      <c r="M26" s="11">
        <f t="shared" si="0"/>
        <v>995000</v>
      </c>
    </row>
    <row r="27" spans="5:13" x14ac:dyDescent="0.3">
      <c r="E27" s="2">
        <v>23</v>
      </c>
      <c r="F27" s="11">
        <f>SUMIF('All Payments'!$2:$2,F$3,'All Payments'!25:25)</f>
        <v>90000</v>
      </c>
      <c r="G27" s="11">
        <f>SUMIF('All Payments'!$2:$2,G$3,'All Payments'!25:25)</f>
        <v>0</v>
      </c>
      <c r="H27" s="11">
        <f>SUMIF('All Payments'!$2:$2,H$3,'All Payments'!25:25)</f>
        <v>86400</v>
      </c>
      <c r="I27" s="11">
        <f>SUMIF('All Payments'!$2:$2,I$3,'All Payments'!25:25)</f>
        <v>576000</v>
      </c>
      <c r="J27" s="11">
        <f>SUMIF('All Payments'!$2:$2,J$3,'All Payments'!25:25)</f>
        <v>82000</v>
      </c>
      <c r="K27" s="11">
        <f>SUMIF('All Payments'!$2:$2,K$3,'All Payments'!25:25)</f>
        <v>10000</v>
      </c>
      <c r="L27" s="11">
        <f>SUMIF('All Payments'!$2:$2,L$3,'All Payments'!25:25)</f>
        <v>120000</v>
      </c>
      <c r="M27" s="11">
        <f t="shared" si="0"/>
        <v>964400</v>
      </c>
    </row>
    <row r="28" spans="5:13" x14ac:dyDescent="0.3">
      <c r="E28" s="2">
        <v>24</v>
      </c>
      <c r="F28" s="11">
        <f>SUMIF('All Payments'!$2:$2,F$3,'All Payments'!26:26)</f>
        <v>90000</v>
      </c>
      <c r="G28" s="11">
        <f>SUMIF('All Payments'!$2:$2,G$3,'All Payments'!26:26)</f>
        <v>425000</v>
      </c>
      <c r="H28" s="11">
        <f>SUMIF('All Payments'!$2:$2,H$3,'All Payments'!26:26)</f>
        <v>93600</v>
      </c>
      <c r="I28" s="11">
        <f>SUMIF('All Payments'!$2:$2,I$3,'All Payments'!26:26)</f>
        <v>585000</v>
      </c>
      <c r="J28" s="11">
        <f>SUMIF('All Payments'!$2:$2,J$3,'All Payments'!26:26)</f>
        <v>82000</v>
      </c>
      <c r="K28" s="11">
        <f>SUMIF('All Payments'!$2:$2,K$3,'All Payments'!26:26)</f>
        <v>10000</v>
      </c>
      <c r="L28" s="11">
        <f>SUMIF('All Payments'!$2:$2,L$3,'All Payments'!26:26)</f>
        <v>120000</v>
      </c>
      <c r="M28" s="11">
        <f t="shared" si="0"/>
        <v>1405600</v>
      </c>
    </row>
    <row r="29" spans="5:13" x14ac:dyDescent="0.3">
      <c r="E29" s="2">
        <v>25</v>
      </c>
      <c r="F29" s="11">
        <f>SUMIF('All Payments'!$2:$2,F$3,'All Payments'!27:27)</f>
        <v>120000</v>
      </c>
      <c r="G29" s="11">
        <f>SUMIF('All Payments'!$2:$2,G$3,'All Payments'!27:27)</f>
        <v>442000</v>
      </c>
      <c r="H29" s="11">
        <f>SUMIF('All Payments'!$2:$2,H$3,'All Payments'!27:27)</f>
        <v>108000</v>
      </c>
      <c r="I29" s="11">
        <f>SUMIF('All Payments'!$2:$2,I$3,'All Payments'!27:27)</f>
        <v>594000</v>
      </c>
      <c r="J29" s="11">
        <f>SUMIF('All Payments'!$2:$2,J$3,'All Payments'!27:27)</f>
        <v>82000</v>
      </c>
      <c r="K29" s="11">
        <f>SUMIF('All Payments'!$2:$2,K$3,'All Payments'!27:27)</f>
        <v>10000</v>
      </c>
      <c r="L29" s="11">
        <f>SUMIF('All Payments'!$2:$2,L$3,'All Payments'!27:27)</f>
        <v>90000</v>
      </c>
      <c r="M29" s="11">
        <f t="shared" si="0"/>
        <v>1446000</v>
      </c>
    </row>
    <row r="30" spans="5:13" x14ac:dyDescent="0.3">
      <c r="E30" s="2">
        <v>26</v>
      </c>
      <c r="F30" s="11">
        <f>SUMIF('All Payments'!$2:$2,F$3,'All Payments'!28:28)</f>
        <v>105000</v>
      </c>
      <c r="G30" s="11">
        <f>SUMIF('All Payments'!$2:$2,G$3,'All Payments'!28:28)</f>
        <v>459000</v>
      </c>
      <c r="H30" s="11">
        <f>SUMIF('All Payments'!$2:$2,H$3,'All Payments'!28:28)</f>
        <v>108000</v>
      </c>
      <c r="I30" s="11">
        <f>SUMIF('All Payments'!$2:$2,I$3,'All Payments'!28:28)</f>
        <v>603000</v>
      </c>
      <c r="J30" s="11">
        <f>SUMIF('All Payments'!$2:$2,J$3,'All Payments'!28:28)</f>
        <v>101000</v>
      </c>
      <c r="K30" s="11">
        <f>SUMIF('All Payments'!$2:$2,K$3,'All Payments'!28:28)</f>
        <v>24285.714285714286</v>
      </c>
      <c r="L30" s="11">
        <f>SUMIF('All Payments'!$2:$2,L$3,'All Payments'!28:28)</f>
        <v>90000</v>
      </c>
      <c r="M30" s="11">
        <f t="shared" si="0"/>
        <v>1490285.7142857143</v>
      </c>
    </row>
    <row r="31" spans="5:13" x14ac:dyDescent="0.3">
      <c r="E31" s="2">
        <v>27</v>
      </c>
      <c r="F31" s="11">
        <f>SUMIF('All Payments'!$2:$2,F$3,'All Payments'!29:29)</f>
        <v>120000</v>
      </c>
      <c r="G31" s="11">
        <f>SUMIF('All Payments'!$2:$2,G$3,'All Payments'!29:29)</f>
        <v>476000</v>
      </c>
      <c r="H31" s="11">
        <f>SUMIF('All Payments'!$2:$2,H$3,'All Payments'!29:29)</f>
        <v>108000</v>
      </c>
      <c r="I31" s="11">
        <f>SUMIF('All Payments'!$2:$2,I$3,'All Payments'!29:29)</f>
        <v>612000</v>
      </c>
      <c r="J31" s="11">
        <f>SUMIF('All Payments'!$2:$2,J$3,'All Payments'!29:29)</f>
        <v>101000</v>
      </c>
      <c r="K31" s="11">
        <f>SUMIF('All Payments'!$2:$2,K$3,'All Payments'!29:29)</f>
        <v>24285.714285714286</v>
      </c>
      <c r="L31" s="11">
        <f>SUMIF('All Payments'!$2:$2,L$3,'All Payments'!29:29)</f>
        <v>90000</v>
      </c>
      <c r="M31" s="11">
        <f t="shared" si="0"/>
        <v>1531285.7142857143</v>
      </c>
    </row>
    <row r="32" spans="5:13" x14ac:dyDescent="0.3">
      <c r="E32" s="2">
        <v>28</v>
      </c>
      <c r="F32" s="11">
        <f>SUMIF('All Payments'!$2:$2,F$3,'All Payments'!30:30)</f>
        <v>165000</v>
      </c>
      <c r="G32" s="11">
        <f>SUMIF('All Payments'!$2:$2,G$3,'All Payments'!30:30)</f>
        <v>493000</v>
      </c>
      <c r="H32" s="11">
        <f>SUMIF('All Payments'!$2:$2,H$3,'All Payments'!30:30)</f>
        <v>115200</v>
      </c>
      <c r="I32" s="11">
        <f>SUMIF('All Payments'!$2:$2,I$3,'All Payments'!30:30)</f>
        <v>621000</v>
      </c>
      <c r="J32" s="11">
        <f>SUMIF('All Payments'!$2:$2,J$3,'All Payments'!30:30)</f>
        <v>101000</v>
      </c>
      <c r="K32" s="11">
        <f>SUMIF('All Payments'!$2:$2,K$3,'All Payments'!30:30)</f>
        <v>24285.714285714286</v>
      </c>
      <c r="L32" s="11">
        <f>SUMIF('All Payments'!$2:$2,L$3,'All Payments'!30:30)</f>
        <v>120000</v>
      </c>
      <c r="M32" s="11">
        <f t="shared" si="0"/>
        <v>1639485.7142857143</v>
      </c>
    </row>
    <row r="33" spans="5:13" x14ac:dyDescent="0.3">
      <c r="E33" s="2">
        <v>29</v>
      </c>
      <c r="F33" s="11">
        <f>SUMIF('All Payments'!$2:$2,F$3,'All Payments'!31:31)</f>
        <v>165000</v>
      </c>
      <c r="G33" s="11">
        <f>SUMIF('All Payments'!$2:$2,G$3,'All Payments'!31:31)</f>
        <v>510000</v>
      </c>
      <c r="H33" s="11">
        <f>SUMIF('All Payments'!$2:$2,H$3,'All Payments'!31:31)</f>
        <v>129600</v>
      </c>
      <c r="I33" s="11">
        <f>SUMIF('All Payments'!$2:$2,I$3,'All Payments'!31:31)</f>
        <v>630000</v>
      </c>
      <c r="J33" s="11">
        <f>SUMIF('All Payments'!$2:$2,J$3,'All Payments'!31:31)</f>
        <v>107000</v>
      </c>
      <c r="K33" s="11">
        <f>SUMIF('All Payments'!$2:$2,K$3,'All Payments'!31:31)</f>
        <v>24285.714285714286</v>
      </c>
      <c r="L33" s="11">
        <f>SUMIF('All Payments'!$2:$2,L$3,'All Payments'!31:31)</f>
        <v>90000</v>
      </c>
      <c r="M33" s="11">
        <f t="shared" si="0"/>
        <v>1655885.7142857143</v>
      </c>
    </row>
    <row r="34" spans="5:13" x14ac:dyDescent="0.3">
      <c r="E34" s="2">
        <v>30</v>
      </c>
      <c r="F34" s="11">
        <f>SUMIF('All Payments'!$2:$2,F$3,'All Payments'!32:32)</f>
        <v>165000</v>
      </c>
      <c r="G34" s="11">
        <f>SUMIF('All Payments'!$2:$2,G$3,'All Payments'!32:32)</f>
        <v>527000</v>
      </c>
      <c r="H34" s="11">
        <f>SUMIF('All Payments'!$2:$2,H$3,'All Payments'!32:32)</f>
        <v>136800</v>
      </c>
      <c r="I34" s="11">
        <f>SUMIF('All Payments'!$2:$2,I$3,'All Payments'!32:32)</f>
        <v>639000</v>
      </c>
      <c r="J34" s="11">
        <f>SUMIF('All Payments'!$2:$2,J$3,'All Payments'!32:32)</f>
        <v>113000</v>
      </c>
      <c r="K34" s="11">
        <f>SUMIF('All Payments'!$2:$2,K$3,'All Payments'!32:32)</f>
        <v>24285.714285714286</v>
      </c>
      <c r="L34" s="11">
        <f>SUMIF('All Payments'!$2:$2,L$3,'All Payments'!32:32)</f>
        <v>120000</v>
      </c>
      <c r="M34" s="11">
        <f t="shared" si="0"/>
        <v>1725085.7142857143</v>
      </c>
    </row>
    <row r="35" spans="5:13" x14ac:dyDescent="0.3">
      <c r="E35" s="2">
        <v>31</v>
      </c>
      <c r="F35" s="11">
        <f>SUMIF('All Payments'!$2:$2,F$3,'All Payments'!33:33)</f>
        <v>165000</v>
      </c>
      <c r="G35" s="11">
        <f>SUMIF('All Payments'!$2:$2,G$3,'All Payments'!33:33)</f>
        <v>544000</v>
      </c>
      <c r="H35" s="11">
        <f>SUMIF('All Payments'!$2:$2,H$3,'All Payments'!33:33)</f>
        <v>144000</v>
      </c>
      <c r="I35" s="11">
        <f>SUMIF('All Payments'!$2:$2,I$3,'All Payments'!33:33)</f>
        <v>648000</v>
      </c>
      <c r="J35" s="11">
        <f>SUMIF('All Payments'!$2:$2,J$3,'All Payments'!33:33)</f>
        <v>132000</v>
      </c>
      <c r="K35" s="11">
        <f>SUMIF('All Payments'!$2:$2,K$3,'All Payments'!33:33)</f>
        <v>19285.714285714286</v>
      </c>
      <c r="L35" s="11">
        <f>SUMIF('All Payments'!$2:$2,L$3,'All Payments'!33:33)</f>
        <v>90000</v>
      </c>
      <c r="M35" s="11">
        <f t="shared" si="0"/>
        <v>1742285.7142857143</v>
      </c>
    </row>
    <row r="36" spans="5:13" x14ac:dyDescent="0.3">
      <c r="E36" s="2">
        <v>32</v>
      </c>
      <c r="F36" s="11">
        <f>SUMIF('All Payments'!$2:$2,F$3,'All Payments'!34:34)</f>
        <v>150000</v>
      </c>
      <c r="G36" s="11">
        <f>SUMIF('All Payments'!$2:$2,G$3,'All Payments'!34:34)</f>
        <v>561000</v>
      </c>
      <c r="H36" s="11">
        <f>SUMIF('All Payments'!$2:$2,H$3,'All Payments'!34:34)</f>
        <v>144000</v>
      </c>
      <c r="I36" s="11">
        <f>SUMIF('All Payments'!$2:$2,I$3,'All Payments'!34:34)</f>
        <v>657000</v>
      </c>
      <c r="J36" s="11">
        <f>SUMIF('All Payments'!$2:$2,J$3,'All Payments'!34:34)</f>
        <v>113000</v>
      </c>
      <c r="K36" s="11">
        <f>SUMIF('All Payments'!$2:$2,K$3,'All Payments'!34:34)</f>
        <v>24841.269841269841</v>
      </c>
      <c r="L36" s="11">
        <f>SUMIF('All Payments'!$2:$2,L$3,'All Payments'!34:34)</f>
        <v>120000</v>
      </c>
      <c r="M36" s="11">
        <f t="shared" si="0"/>
        <v>1769841.2698412698</v>
      </c>
    </row>
    <row r="37" spans="5:13" x14ac:dyDescent="0.3">
      <c r="E37" s="2">
        <v>33</v>
      </c>
      <c r="F37" s="11">
        <f>SUMIF('All Payments'!$2:$2,F$3,'All Payments'!35:35)</f>
        <v>135000</v>
      </c>
      <c r="G37" s="11">
        <f>SUMIF('All Payments'!$2:$2,G$3,'All Payments'!35:35)</f>
        <v>578000</v>
      </c>
      <c r="H37" s="11">
        <f>SUMIF('All Payments'!$2:$2,H$3,'All Payments'!35:35)</f>
        <v>144000</v>
      </c>
      <c r="I37" s="11">
        <f>SUMIF('All Payments'!$2:$2,I$3,'All Payments'!35:35)</f>
        <v>666000</v>
      </c>
      <c r="J37" s="11">
        <f>SUMIF('All Payments'!$2:$2,J$3,'All Payments'!35:35)</f>
        <v>113000</v>
      </c>
      <c r="K37" s="11">
        <f>SUMIF('All Payments'!$2:$2,K$3,'All Payments'!35:35)</f>
        <v>10555.555555555555</v>
      </c>
      <c r="L37" s="11">
        <f>SUMIF('All Payments'!$2:$2,L$3,'All Payments'!35:35)</f>
        <v>90000</v>
      </c>
      <c r="M37" s="11">
        <f t="shared" si="0"/>
        <v>1736555.5555555555</v>
      </c>
    </row>
    <row r="38" spans="5:13" x14ac:dyDescent="0.3">
      <c r="E38" s="2">
        <v>34</v>
      </c>
      <c r="F38" s="11">
        <f>SUMIF('All Payments'!$2:$2,F$3,'All Payments'!36:36)</f>
        <v>105000</v>
      </c>
      <c r="G38" s="11">
        <f>SUMIF('All Payments'!$2:$2,G$3,'All Payments'!36:36)</f>
        <v>595000</v>
      </c>
      <c r="H38" s="11">
        <f>SUMIF('All Payments'!$2:$2,H$3,'All Payments'!36:36)</f>
        <v>144000</v>
      </c>
      <c r="I38" s="11">
        <f>SUMIF('All Payments'!$2:$2,I$3,'All Payments'!36:36)</f>
        <v>675000</v>
      </c>
      <c r="J38" s="11">
        <f>SUMIF('All Payments'!$2:$2,J$3,'All Payments'!36:36)</f>
        <v>119000</v>
      </c>
      <c r="K38" s="11">
        <f>SUMIF('All Payments'!$2:$2,K$3,'All Payments'!36:36)</f>
        <v>10555.555555555555</v>
      </c>
      <c r="L38" s="11">
        <f>SUMIF('All Payments'!$2:$2,L$3,'All Payments'!36:36)</f>
        <v>30000</v>
      </c>
      <c r="M38" s="11">
        <f t="shared" si="0"/>
        <v>1678555.5555555555</v>
      </c>
    </row>
    <row r="39" spans="5:13" x14ac:dyDescent="0.3">
      <c r="E39" s="2">
        <v>35</v>
      </c>
      <c r="F39" s="11">
        <f>SUMIF('All Payments'!$2:$2,F$3,'All Payments'!37:37)</f>
        <v>105000</v>
      </c>
      <c r="G39" s="11">
        <f>SUMIF('All Payments'!$2:$2,G$3,'All Payments'!37:37)</f>
        <v>612000</v>
      </c>
      <c r="H39" s="11">
        <f>SUMIF('All Payments'!$2:$2,H$3,'All Payments'!37:37)</f>
        <v>144000</v>
      </c>
      <c r="I39" s="11">
        <f>SUMIF('All Payments'!$2:$2,I$3,'All Payments'!37:37)</f>
        <v>684000</v>
      </c>
      <c r="J39" s="11">
        <f>SUMIF('All Payments'!$2:$2,J$3,'All Payments'!37:37)</f>
        <v>119000</v>
      </c>
      <c r="K39" s="11">
        <f>SUMIF('All Payments'!$2:$2,K$3,'All Payments'!37:37)</f>
        <v>10555.555555555555</v>
      </c>
      <c r="L39" s="11">
        <f>SUMIF('All Payments'!$2:$2,L$3,'All Payments'!37:37)</f>
        <v>60000</v>
      </c>
      <c r="M39" s="11">
        <f t="shared" si="0"/>
        <v>1734555.5555555555</v>
      </c>
    </row>
    <row r="40" spans="5:13" x14ac:dyDescent="0.3">
      <c r="E40" s="2">
        <v>36</v>
      </c>
      <c r="F40" s="11">
        <f>SUMIF('All Payments'!$2:$2,F$3,'All Payments'!38:38)</f>
        <v>90000</v>
      </c>
      <c r="G40" s="11">
        <f>SUMIF('All Payments'!$2:$2,G$3,'All Payments'!38:38)</f>
        <v>629000</v>
      </c>
      <c r="H40" s="11">
        <f>SUMIF('All Payments'!$2:$2,H$3,'All Payments'!38:38)</f>
        <v>144000</v>
      </c>
      <c r="I40" s="11">
        <f>SUMIF('All Payments'!$2:$2,I$3,'All Payments'!38:38)</f>
        <v>693000</v>
      </c>
      <c r="J40" s="11">
        <f>SUMIF('All Payments'!$2:$2,J$3,'All Payments'!38:38)</f>
        <v>100000</v>
      </c>
      <c r="K40" s="11">
        <f>SUMIF('All Payments'!$2:$2,K$3,'All Payments'!38:38)</f>
        <v>10555.555555555555</v>
      </c>
      <c r="L40" s="11">
        <f>SUMIF('All Payments'!$2:$2,L$3,'All Payments'!38:38)</f>
        <v>30000</v>
      </c>
      <c r="M40" s="11">
        <f t="shared" si="0"/>
        <v>1696555.5555555555</v>
      </c>
    </row>
    <row r="41" spans="5:13" x14ac:dyDescent="0.3">
      <c r="E41" s="2">
        <v>37</v>
      </c>
      <c r="F41" s="11">
        <f>SUMIF('All Payments'!$2:$2,F$3,'All Payments'!39:39)</f>
        <v>90000</v>
      </c>
      <c r="G41" s="11">
        <f>SUMIF('All Payments'!$2:$2,G$3,'All Payments'!39:39)</f>
        <v>646000</v>
      </c>
      <c r="H41" s="11">
        <f>SUMIF('All Payments'!$2:$2,H$3,'All Payments'!39:39)</f>
        <v>158400</v>
      </c>
      <c r="I41" s="11">
        <f>SUMIF('All Payments'!$2:$2,I$3,'All Payments'!39:39)</f>
        <v>702000</v>
      </c>
      <c r="J41" s="11">
        <f>SUMIF('All Payments'!$2:$2,J$3,'All Payments'!39:39)</f>
        <v>100000</v>
      </c>
      <c r="K41" s="11">
        <f>SUMIF('All Payments'!$2:$2,K$3,'All Payments'!39:39)</f>
        <v>5555.5555555555557</v>
      </c>
      <c r="L41" s="11">
        <f>SUMIF('All Payments'!$2:$2,L$3,'All Payments'!39:39)</f>
        <v>60000</v>
      </c>
      <c r="M41" s="11">
        <f t="shared" si="0"/>
        <v>1761955.5555555555</v>
      </c>
    </row>
    <row r="42" spans="5:13" x14ac:dyDescent="0.3">
      <c r="E42" s="2">
        <v>38</v>
      </c>
      <c r="F42" s="11">
        <f>SUMIF('All Payments'!$2:$2,F$3,'All Payments'!40:40)</f>
        <v>75000</v>
      </c>
      <c r="G42" s="11">
        <f>SUMIF('All Payments'!$2:$2,G$3,'All Payments'!40:40)</f>
        <v>663000</v>
      </c>
      <c r="H42" s="11">
        <f>SUMIF('All Payments'!$2:$2,H$3,'All Payments'!40:40)</f>
        <v>158400</v>
      </c>
      <c r="I42" s="11">
        <f>SUMIF('All Payments'!$2:$2,I$3,'All Payments'!40:40)</f>
        <v>711000</v>
      </c>
      <c r="J42" s="11">
        <f>SUMIF('All Payments'!$2:$2,J$3,'All Payments'!40:40)</f>
        <v>100000</v>
      </c>
      <c r="K42" s="11">
        <f>SUMIF('All Payments'!$2:$2,K$3,'All Payments'!40:40)</f>
        <v>5555.5555555555557</v>
      </c>
      <c r="L42" s="11">
        <f>SUMIF('All Payments'!$2:$2,L$3,'All Payments'!40:40)</f>
        <v>30000</v>
      </c>
      <c r="M42" s="11">
        <f t="shared" si="0"/>
        <v>1742955.5555555555</v>
      </c>
    </row>
    <row r="43" spans="5:13" x14ac:dyDescent="0.3">
      <c r="E43" s="2">
        <v>39</v>
      </c>
      <c r="F43" s="11">
        <f>SUMIF('All Payments'!$2:$2,F$3,'All Payments'!41:41)</f>
        <v>75000</v>
      </c>
      <c r="G43" s="11">
        <f>SUMIF('All Payments'!$2:$2,G$3,'All Payments'!41:41)</f>
        <v>680000</v>
      </c>
      <c r="H43" s="11">
        <f>SUMIF('All Payments'!$2:$2,H$3,'All Payments'!41:41)</f>
        <v>165600</v>
      </c>
      <c r="I43" s="11">
        <f>SUMIF('All Payments'!$2:$2,I$3,'All Payments'!41:41)</f>
        <v>720000</v>
      </c>
      <c r="J43" s="11">
        <f>SUMIF('All Payments'!$2:$2,J$3,'All Payments'!41:41)</f>
        <v>75000</v>
      </c>
      <c r="K43" s="11">
        <f>SUMIF('All Payments'!$2:$2,K$3,'All Payments'!41:41)</f>
        <v>5555.5555555555557</v>
      </c>
      <c r="L43" s="11">
        <f>SUMIF('All Payments'!$2:$2,L$3,'All Payments'!41:41)</f>
        <v>30000</v>
      </c>
      <c r="M43" s="11">
        <f t="shared" si="0"/>
        <v>1751155.5555555555</v>
      </c>
    </row>
    <row r="44" spans="5:13" x14ac:dyDescent="0.3">
      <c r="E44" s="2">
        <v>40</v>
      </c>
      <c r="F44" s="11">
        <f>SUMIF('All Payments'!$2:$2,F$3,'All Payments'!42:42)</f>
        <v>75000</v>
      </c>
      <c r="G44" s="11">
        <f>SUMIF('All Payments'!$2:$2,G$3,'All Payments'!42:42)</f>
        <v>656000</v>
      </c>
      <c r="H44" s="11">
        <f>SUMIF('All Payments'!$2:$2,H$3,'All Payments'!42:42)</f>
        <v>158400</v>
      </c>
      <c r="I44" s="11">
        <f>SUMIF('All Payments'!$2:$2,I$3,'All Payments'!42:42)</f>
        <v>729000</v>
      </c>
      <c r="J44" s="11">
        <f>SUMIF('All Payments'!$2:$2,J$3,'All Payments'!42:42)</f>
        <v>50000</v>
      </c>
      <c r="K44" s="11">
        <f>SUMIF('All Payments'!$2:$2,K$3,'All Payments'!42:42)</f>
        <v>5555.5555555555557</v>
      </c>
      <c r="L44" s="11">
        <f>SUMIF('All Payments'!$2:$2,L$3,'All Payments'!42:42)</f>
        <v>30000</v>
      </c>
      <c r="M44" s="11">
        <f t="shared" si="0"/>
        <v>1703955.5555555555</v>
      </c>
    </row>
    <row r="45" spans="5:13" x14ac:dyDescent="0.3">
      <c r="E45" s="2">
        <v>41</v>
      </c>
      <c r="F45" s="11">
        <f>SUMIF('All Payments'!$2:$2,F$3,'All Payments'!43:43)</f>
        <v>60000</v>
      </c>
      <c r="G45" s="11">
        <f>SUMIF('All Payments'!$2:$2,G$3,'All Payments'!43:43)</f>
        <v>630000</v>
      </c>
      <c r="H45" s="11">
        <f>SUMIF('All Payments'!$2:$2,H$3,'All Payments'!43:43)</f>
        <v>158400</v>
      </c>
      <c r="I45" s="11">
        <f>SUMIF('All Payments'!$2:$2,I$3,'All Payments'!43:43)</f>
        <v>738000</v>
      </c>
      <c r="J45" s="11">
        <f>SUMIF('All Payments'!$2:$2,J$3,'All Payments'!43:43)</f>
        <v>50000</v>
      </c>
      <c r="K45" s="11">
        <f>SUMIF('All Payments'!$2:$2,K$3,'All Payments'!43:43)</f>
        <v>5555.5555555555557</v>
      </c>
      <c r="L45" s="11">
        <f>SUMIF('All Payments'!$2:$2,L$3,'All Payments'!43:43)</f>
        <v>30000</v>
      </c>
      <c r="M45" s="11">
        <f t="shared" si="0"/>
        <v>1671955.5555555555</v>
      </c>
    </row>
    <row r="46" spans="5:13" x14ac:dyDescent="0.3">
      <c r="E46" s="2">
        <v>42</v>
      </c>
      <c r="F46" s="11">
        <f>SUMIF('All Payments'!$2:$2,F$3,'All Payments'!44:44)</f>
        <v>45000</v>
      </c>
      <c r="G46" s="11">
        <f>SUMIF('All Payments'!$2:$2,G$3,'All Payments'!44:44)</f>
        <v>645000</v>
      </c>
      <c r="H46" s="11">
        <f>SUMIF('All Payments'!$2:$2,H$3,'All Payments'!44:44)</f>
        <v>144000</v>
      </c>
      <c r="I46" s="11">
        <f>SUMIF('All Payments'!$2:$2,I$3,'All Payments'!44:44)</f>
        <v>747000</v>
      </c>
      <c r="J46" s="11">
        <f>SUMIF('All Payments'!$2:$2,J$3,'All Payments'!44:44)</f>
        <v>25000</v>
      </c>
      <c r="K46" s="11">
        <f>SUMIF('All Payments'!$2:$2,K$3,'All Payments'!44:44)</f>
        <v>5555.5555555555557</v>
      </c>
      <c r="L46" s="11">
        <f>SUMIF('All Payments'!$2:$2,L$3,'All Payments'!44:44)</f>
        <v>30000</v>
      </c>
      <c r="M46" s="11">
        <f t="shared" si="0"/>
        <v>1641555.5555555555</v>
      </c>
    </row>
    <row r="47" spans="5:13" x14ac:dyDescent="0.3">
      <c r="E47" s="2">
        <v>43</v>
      </c>
      <c r="F47" s="11">
        <f>SUMIF('All Payments'!$2:$2,F$3,'All Payments'!45:45)</f>
        <v>45000</v>
      </c>
      <c r="G47" s="11">
        <f>SUMIF('All Payments'!$2:$2,G$3,'All Payments'!45:45)</f>
        <v>616000</v>
      </c>
      <c r="H47" s="11">
        <f>SUMIF('All Payments'!$2:$2,H$3,'All Payments'!45:45)</f>
        <v>136800</v>
      </c>
      <c r="I47" s="11">
        <f>SUMIF('All Payments'!$2:$2,I$3,'All Payments'!45:45)</f>
        <v>756000</v>
      </c>
      <c r="J47" s="11">
        <f>SUMIF('All Payments'!$2:$2,J$3,'All Payments'!45:45)</f>
        <v>25000</v>
      </c>
      <c r="K47" s="11">
        <f>SUMIF('All Payments'!$2:$2,K$3,'All Payments'!45:45)</f>
        <v>5555.5555555555557</v>
      </c>
      <c r="L47" s="11">
        <f>SUMIF('All Payments'!$2:$2,L$3,'All Payments'!45:45)</f>
        <v>30000</v>
      </c>
      <c r="M47" s="11">
        <f t="shared" si="0"/>
        <v>1614355.5555555555</v>
      </c>
    </row>
    <row r="48" spans="5:13" x14ac:dyDescent="0.3">
      <c r="E48" s="2">
        <v>44</v>
      </c>
      <c r="F48" s="11">
        <f>SUMIF('All Payments'!$2:$2,F$3,'All Payments'!46:46)</f>
        <v>45000</v>
      </c>
      <c r="G48" s="11">
        <f>SUMIF('All Payments'!$2:$2,G$3,'All Payments'!46:46)</f>
        <v>630000</v>
      </c>
      <c r="H48" s="11">
        <f>SUMIF('All Payments'!$2:$2,H$3,'All Payments'!46:46)</f>
        <v>122400</v>
      </c>
      <c r="I48" s="11">
        <f>SUMIF('All Payments'!$2:$2,I$3,'All Payments'!46:46)</f>
        <v>765000</v>
      </c>
      <c r="J48" s="11">
        <f>SUMIF('All Payments'!$2:$2,J$3,'All Payments'!46:46)</f>
        <v>25000</v>
      </c>
      <c r="K48" s="11">
        <f>SUMIF('All Payments'!$2:$2,K$3,'All Payments'!46:46)</f>
        <v>5555.5555555555557</v>
      </c>
      <c r="L48" s="11">
        <f>SUMIF('All Payments'!$2:$2,L$3,'All Payments'!46:46)</f>
        <v>30000</v>
      </c>
      <c r="M48" s="11">
        <f t="shared" si="0"/>
        <v>1622955.5555555555</v>
      </c>
    </row>
    <row r="49" spans="5:13" x14ac:dyDescent="0.3">
      <c r="E49" s="2">
        <v>45</v>
      </c>
      <c r="F49" s="11">
        <f>SUMIF('All Payments'!$2:$2,F$3,'All Payments'!47:47)</f>
        <v>15000</v>
      </c>
      <c r="G49" s="11">
        <f>SUMIF('All Payments'!$2:$2,G$3,'All Payments'!47:47)</f>
        <v>644000</v>
      </c>
      <c r="H49" s="11">
        <f>SUMIF('All Payments'!$2:$2,H$3,'All Payments'!47:47)</f>
        <v>122400</v>
      </c>
      <c r="I49" s="11">
        <f>SUMIF('All Payments'!$2:$2,I$3,'All Payments'!47:47)</f>
        <v>774000</v>
      </c>
      <c r="J49" s="11">
        <f>SUMIF('All Payments'!$2:$2,J$3,'All Payments'!47:47)</f>
        <v>0</v>
      </c>
      <c r="K49" s="11">
        <f>SUMIF('All Payments'!$2:$2,K$3,'All Payments'!47:47)</f>
        <v>5555.5555555555557</v>
      </c>
      <c r="L49" s="11">
        <f>SUMIF('All Payments'!$2:$2,L$3,'All Payments'!47:47)</f>
        <v>0</v>
      </c>
      <c r="M49" s="11">
        <f t="shared" si="0"/>
        <v>1560955.5555555555</v>
      </c>
    </row>
    <row r="50" spans="5:13" x14ac:dyDescent="0.3">
      <c r="E50" s="2">
        <v>46</v>
      </c>
      <c r="F50" s="11">
        <f>SUMIF('All Payments'!$2:$2,F$3,'All Payments'!48:48)</f>
        <v>15000</v>
      </c>
      <c r="G50" s="11">
        <f>SUMIF('All Payments'!$2:$2,G$3,'All Payments'!48:48)</f>
        <v>658000</v>
      </c>
      <c r="H50" s="11">
        <f>SUMIF('All Payments'!$2:$2,H$3,'All Payments'!48:48)</f>
        <v>122400</v>
      </c>
      <c r="I50" s="11">
        <f>SUMIF('All Payments'!$2:$2,I$3,'All Payments'!48:48)</f>
        <v>696000</v>
      </c>
      <c r="J50" s="11">
        <f>SUMIF('All Payments'!$2:$2,J$3,'All Payments'!48:48)</f>
        <v>0</v>
      </c>
      <c r="K50" s="11">
        <f>SUMIF('All Payments'!$2:$2,K$3,'All Payments'!48:48)</f>
        <v>5555.5555555555557</v>
      </c>
      <c r="L50" s="11">
        <f>SUMIF('All Payments'!$2:$2,L$3,'All Payments'!48:48)</f>
        <v>0</v>
      </c>
      <c r="M50" s="11">
        <f t="shared" si="0"/>
        <v>1496955.5555555555</v>
      </c>
    </row>
    <row r="51" spans="5:13" x14ac:dyDescent="0.3">
      <c r="E51" s="2">
        <v>47</v>
      </c>
      <c r="F51" s="11">
        <f>SUMIF('All Payments'!$2:$2,F$3,'All Payments'!49:49)</f>
        <v>0</v>
      </c>
      <c r="G51" s="11">
        <f>SUMIF('All Payments'!$2:$2,G$3,'All Payments'!49:49)</f>
        <v>624000</v>
      </c>
      <c r="H51" s="11">
        <f>SUMIF('All Payments'!$2:$2,H$3,'All Payments'!49:49)</f>
        <v>108000</v>
      </c>
      <c r="I51" s="11">
        <f>SUMIF('All Payments'!$2:$2,I$3,'All Payments'!49:49)</f>
        <v>704000</v>
      </c>
      <c r="J51" s="11">
        <f>SUMIF('All Payments'!$2:$2,J$3,'All Payments'!49:49)</f>
        <v>0</v>
      </c>
      <c r="K51" s="11">
        <f>SUMIF('All Payments'!$2:$2,K$3,'All Payments'!49:49)</f>
        <v>5555.5555555555557</v>
      </c>
      <c r="L51" s="11">
        <f>SUMIF('All Payments'!$2:$2,L$3,'All Payments'!49:49)</f>
        <v>0</v>
      </c>
      <c r="M51" s="11">
        <f t="shared" si="0"/>
        <v>1441555.5555555555</v>
      </c>
    </row>
    <row r="52" spans="5:13" x14ac:dyDescent="0.3">
      <c r="E52" s="2">
        <v>48</v>
      </c>
      <c r="F52" s="11">
        <f>SUMIF('All Payments'!$2:$2,F$3,'All Payments'!50:50)</f>
        <v>0</v>
      </c>
      <c r="G52" s="11">
        <f>SUMIF('All Payments'!$2:$2,G$3,'All Payments'!50:50)</f>
        <v>637000</v>
      </c>
      <c r="H52" s="11">
        <f>SUMIF('All Payments'!$2:$2,H$3,'All Payments'!50:50)</f>
        <v>108000</v>
      </c>
      <c r="I52" s="11">
        <f>SUMIF('All Payments'!$2:$2,I$3,'All Payments'!50:50)</f>
        <v>712000</v>
      </c>
      <c r="J52" s="11">
        <f>SUMIF('All Payments'!$2:$2,J$3,'All Payments'!50:50)</f>
        <v>0</v>
      </c>
      <c r="K52" s="11">
        <f>SUMIF('All Payments'!$2:$2,K$3,'All Payments'!50:50)</f>
        <v>5555.5555555555557</v>
      </c>
      <c r="L52" s="11">
        <f>SUMIF('All Payments'!$2:$2,L$3,'All Payments'!50:50)</f>
        <v>0</v>
      </c>
      <c r="M52" s="11">
        <f t="shared" si="0"/>
        <v>1462555.5555555555</v>
      </c>
    </row>
    <row r="53" spans="5:13" x14ac:dyDescent="0.3">
      <c r="E53" s="2">
        <v>49</v>
      </c>
      <c r="F53" s="11">
        <f>SUMIF('All Payments'!$2:$2,F$3,'All Payments'!51:51)</f>
        <v>0</v>
      </c>
      <c r="G53" s="11">
        <f>SUMIF('All Payments'!$2:$2,G$3,'All Payments'!51:51)</f>
        <v>650000</v>
      </c>
      <c r="H53" s="11">
        <f>SUMIF('All Payments'!$2:$2,H$3,'All Payments'!51:51)</f>
        <v>100800</v>
      </c>
      <c r="I53" s="11">
        <f>SUMIF('All Payments'!$2:$2,I$3,'All Payments'!51:51)</f>
        <v>720000</v>
      </c>
      <c r="J53" s="11">
        <f>SUMIF('All Payments'!$2:$2,J$3,'All Payments'!51:51)</f>
        <v>0</v>
      </c>
      <c r="K53" s="11">
        <f>SUMIF('All Payments'!$2:$2,K$3,'All Payments'!51:51)</f>
        <v>5555.5555555555557</v>
      </c>
      <c r="L53" s="11">
        <f>SUMIF('All Payments'!$2:$2,L$3,'All Payments'!51:51)</f>
        <v>0</v>
      </c>
      <c r="M53" s="11">
        <f t="shared" si="0"/>
        <v>1476355.5555555555</v>
      </c>
    </row>
    <row r="54" spans="5:13" x14ac:dyDescent="0.3">
      <c r="E54" s="2">
        <v>50</v>
      </c>
      <c r="F54" s="11">
        <f>SUMIF('All Payments'!$2:$2,F$3,'All Payments'!52:52)</f>
        <v>0</v>
      </c>
      <c r="G54" s="11">
        <f>SUMIF('All Payments'!$2:$2,G$3,'All Payments'!52:52)</f>
        <v>612000</v>
      </c>
      <c r="H54" s="11">
        <f>SUMIF('All Payments'!$2:$2,H$3,'All Payments'!52:52)</f>
        <v>100800</v>
      </c>
      <c r="I54" s="11">
        <f>SUMIF('All Payments'!$2:$2,I$3,'All Payments'!52:52)</f>
        <v>728000</v>
      </c>
      <c r="J54" s="11">
        <f>SUMIF('All Payments'!$2:$2,J$3,'All Payments'!52:52)</f>
        <v>0</v>
      </c>
      <c r="K54" s="11">
        <f>SUMIF('All Payments'!$2:$2,K$3,'All Payments'!52:52)</f>
        <v>0</v>
      </c>
      <c r="L54" s="11">
        <f>SUMIF('All Payments'!$2:$2,L$3,'All Payments'!52:52)</f>
        <v>0</v>
      </c>
      <c r="M54" s="11">
        <f t="shared" si="0"/>
        <v>1440800</v>
      </c>
    </row>
    <row r="55" spans="5:13" x14ac:dyDescent="0.3">
      <c r="E55" s="2">
        <v>51</v>
      </c>
      <c r="F55" s="11">
        <f>SUMIF('All Payments'!$2:$2,F$3,'All Payments'!53:53)</f>
        <v>0</v>
      </c>
      <c r="G55" s="11">
        <f>SUMIF('All Payments'!$2:$2,G$3,'All Payments'!53:53)</f>
        <v>624000</v>
      </c>
      <c r="H55" s="11">
        <f>SUMIF('All Payments'!$2:$2,H$3,'All Payments'!53:53)</f>
        <v>100800</v>
      </c>
      <c r="I55" s="11">
        <f>SUMIF('All Payments'!$2:$2,I$3,'All Payments'!53:53)</f>
        <v>736000</v>
      </c>
      <c r="J55" s="11">
        <f>SUMIF('All Payments'!$2:$2,J$3,'All Payments'!53:53)</f>
        <v>0</v>
      </c>
      <c r="K55" s="11">
        <f>SUMIF('All Payments'!$2:$2,K$3,'All Payments'!53:53)</f>
        <v>0</v>
      </c>
      <c r="L55" s="11">
        <f>SUMIF('All Payments'!$2:$2,L$3,'All Payments'!53:53)</f>
        <v>0</v>
      </c>
      <c r="M55" s="11">
        <f t="shared" si="0"/>
        <v>1460800</v>
      </c>
    </row>
    <row r="56" spans="5:13" x14ac:dyDescent="0.3">
      <c r="E56" s="2">
        <v>52</v>
      </c>
      <c r="F56" s="11">
        <f>SUMIF('All Payments'!$2:$2,F$3,'All Payments'!54:54)</f>
        <v>0</v>
      </c>
      <c r="G56" s="11">
        <f>SUMIF('All Payments'!$2:$2,G$3,'All Payments'!54:54)</f>
        <v>477000</v>
      </c>
      <c r="H56" s="11">
        <f>SUMIF('All Payments'!$2:$2,H$3,'All Payments'!54:54)</f>
        <v>93600</v>
      </c>
      <c r="I56" s="11">
        <f>SUMIF('All Payments'!$2:$2,I$3,'All Payments'!54:54)</f>
        <v>651000</v>
      </c>
      <c r="J56" s="11">
        <f>SUMIF('All Payments'!$2:$2,J$3,'All Payments'!54:54)</f>
        <v>0</v>
      </c>
      <c r="K56" s="11">
        <f>SUMIF('All Payments'!$2:$2,K$3,'All Payments'!54:54)</f>
        <v>0</v>
      </c>
      <c r="L56" s="11">
        <f>SUMIF('All Payments'!$2:$2,L$3,'All Payments'!54:54)</f>
        <v>0</v>
      </c>
      <c r="M56" s="11">
        <f t="shared" si="0"/>
        <v>1221600</v>
      </c>
    </row>
    <row r="57" spans="5:13" x14ac:dyDescent="0.3">
      <c r="E57" s="2">
        <v>53</v>
      </c>
      <c r="F57" s="11">
        <f>SUMIF('All Payments'!$2:$2,F$3,'All Payments'!55:55)</f>
        <v>0</v>
      </c>
      <c r="G57" s="11">
        <f>SUMIF('All Payments'!$2:$2,G$3,'All Payments'!55:55)</f>
        <v>486000</v>
      </c>
      <c r="H57" s="11">
        <f>SUMIF('All Payments'!$2:$2,H$3,'All Payments'!55:55)</f>
        <v>79200</v>
      </c>
      <c r="I57" s="11">
        <f>SUMIF('All Payments'!$2:$2,I$3,'All Payments'!55:55)</f>
        <v>658000</v>
      </c>
      <c r="J57" s="11">
        <f>SUMIF('All Payments'!$2:$2,J$3,'All Payments'!55:55)</f>
        <v>0</v>
      </c>
      <c r="K57" s="11">
        <f>SUMIF('All Payments'!$2:$2,K$3,'All Payments'!55:55)</f>
        <v>0</v>
      </c>
      <c r="L57" s="11">
        <f>SUMIF('All Payments'!$2:$2,L$3,'All Payments'!55:55)</f>
        <v>0</v>
      </c>
      <c r="M57" s="11">
        <f t="shared" si="0"/>
        <v>1223200</v>
      </c>
    </row>
    <row r="58" spans="5:13" x14ac:dyDescent="0.3">
      <c r="E58" s="2">
        <v>54</v>
      </c>
      <c r="F58" s="11">
        <f>SUMIF('All Payments'!$2:$2,F$3,'All Payments'!56:56)</f>
        <v>0</v>
      </c>
      <c r="G58" s="11">
        <f>SUMIF('All Payments'!$2:$2,G$3,'All Payments'!56:56)</f>
        <v>0</v>
      </c>
      <c r="H58" s="11">
        <f>SUMIF('All Payments'!$2:$2,H$3,'All Payments'!56:56)</f>
        <v>79200</v>
      </c>
      <c r="I58" s="11">
        <f>SUMIF('All Payments'!$2:$2,I$3,'All Payments'!56:56)</f>
        <v>570000</v>
      </c>
      <c r="J58" s="11">
        <f>SUMIF('All Payments'!$2:$2,J$3,'All Payments'!56:56)</f>
        <v>0</v>
      </c>
      <c r="K58" s="11">
        <f>SUMIF('All Payments'!$2:$2,K$3,'All Payments'!56:56)</f>
        <v>0</v>
      </c>
      <c r="L58" s="11">
        <f>SUMIF('All Payments'!$2:$2,L$3,'All Payments'!56:56)</f>
        <v>0</v>
      </c>
      <c r="M58" s="11">
        <f t="shared" si="0"/>
        <v>649200</v>
      </c>
    </row>
    <row r="59" spans="5:13" x14ac:dyDescent="0.3">
      <c r="E59" s="2">
        <v>55</v>
      </c>
      <c r="F59" s="11">
        <f>SUMIF('All Payments'!$2:$2,F$3,'All Payments'!57:57)</f>
        <v>0</v>
      </c>
      <c r="G59" s="11">
        <f>SUMIF('All Payments'!$2:$2,G$3,'All Payments'!57:57)</f>
        <v>0</v>
      </c>
      <c r="H59" s="11">
        <f>SUMIF('All Payments'!$2:$2,H$3,'All Payments'!57:57)</f>
        <v>72000</v>
      </c>
      <c r="I59" s="11">
        <f>SUMIF('All Payments'!$2:$2,I$3,'All Payments'!57:57)</f>
        <v>480000</v>
      </c>
      <c r="J59" s="11">
        <f>SUMIF('All Payments'!$2:$2,J$3,'All Payments'!57:57)</f>
        <v>0</v>
      </c>
      <c r="K59" s="11">
        <f>SUMIF('All Payments'!$2:$2,K$3,'All Payments'!57:57)</f>
        <v>0</v>
      </c>
      <c r="L59" s="11">
        <f>SUMIF('All Payments'!$2:$2,L$3,'All Payments'!57:57)</f>
        <v>0</v>
      </c>
      <c r="M59" s="11">
        <f t="shared" si="0"/>
        <v>552000</v>
      </c>
    </row>
    <row r="60" spans="5:13" x14ac:dyDescent="0.3">
      <c r="E60" s="2">
        <v>56</v>
      </c>
      <c r="F60" s="11">
        <f>SUMIF('All Payments'!$2:$2,F$3,'All Payments'!58:58)</f>
        <v>0</v>
      </c>
      <c r="G60" s="11">
        <f>SUMIF('All Payments'!$2:$2,G$3,'All Payments'!58:58)</f>
        <v>0</v>
      </c>
      <c r="H60" s="11">
        <f>SUMIF('All Payments'!$2:$2,H$3,'All Payments'!58:58)</f>
        <v>72000</v>
      </c>
      <c r="I60" s="11">
        <f>SUMIF('All Payments'!$2:$2,I$3,'All Payments'!58:58)</f>
        <v>485000</v>
      </c>
      <c r="J60" s="11">
        <f>SUMIF('All Payments'!$2:$2,J$3,'All Payments'!58:58)</f>
        <v>0</v>
      </c>
      <c r="K60" s="11">
        <f>SUMIF('All Payments'!$2:$2,K$3,'All Payments'!58:58)</f>
        <v>0</v>
      </c>
      <c r="L60" s="11">
        <f>SUMIF('All Payments'!$2:$2,L$3,'All Payments'!58:58)</f>
        <v>0</v>
      </c>
      <c r="M60" s="11">
        <f t="shared" si="0"/>
        <v>557000</v>
      </c>
    </row>
    <row r="61" spans="5:13" x14ac:dyDescent="0.3">
      <c r="E61" s="2">
        <v>57</v>
      </c>
      <c r="F61" s="11">
        <f>SUMIF('All Payments'!$2:$2,F$3,'All Payments'!59:59)</f>
        <v>0</v>
      </c>
      <c r="G61" s="11">
        <f>SUMIF('All Payments'!$2:$2,G$3,'All Payments'!59:59)</f>
        <v>0</v>
      </c>
      <c r="H61" s="11">
        <f>SUMIF('All Payments'!$2:$2,H$3,'All Payments'!59:59)</f>
        <v>64800</v>
      </c>
      <c r="I61" s="11">
        <f>SUMIF('All Payments'!$2:$2,I$3,'All Payments'!59:59)</f>
        <v>392000</v>
      </c>
      <c r="J61" s="11">
        <f>SUMIF('All Payments'!$2:$2,J$3,'All Payments'!59:59)</f>
        <v>0</v>
      </c>
      <c r="K61" s="11">
        <f>SUMIF('All Payments'!$2:$2,K$3,'All Payments'!59:59)</f>
        <v>0</v>
      </c>
      <c r="L61" s="11">
        <f>SUMIF('All Payments'!$2:$2,L$3,'All Payments'!59:59)</f>
        <v>0</v>
      </c>
      <c r="M61" s="11">
        <f t="shared" si="0"/>
        <v>456800</v>
      </c>
    </row>
    <row r="62" spans="5:13" x14ac:dyDescent="0.3">
      <c r="E62" s="2">
        <v>58</v>
      </c>
      <c r="F62" s="11">
        <f>SUMIF('All Payments'!$2:$2,F$3,'All Payments'!60:60)</f>
        <v>0</v>
      </c>
      <c r="G62" s="11">
        <f>SUMIF('All Payments'!$2:$2,G$3,'All Payments'!60:60)</f>
        <v>0</v>
      </c>
      <c r="H62" s="11">
        <f>SUMIF('All Payments'!$2:$2,H$3,'All Payments'!60:60)</f>
        <v>64800</v>
      </c>
      <c r="I62" s="11">
        <f>SUMIF('All Payments'!$2:$2,I$3,'All Payments'!60:60)</f>
        <v>396000</v>
      </c>
      <c r="J62" s="11">
        <f>SUMIF('All Payments'!$2:$2,J$3,'All Payments'!60:60)</f>
        <v>0</v>
      </c>
      <c r="K62" s="11">
        <f>SUMIF('All Payments'!$2:$2,K$3,'All Payments'!60:60)</f>
        <v>0</v>
      </c>
      <c r="L62" s="11">
        <f>SUMIF('All Payments'!$2:$2,L$3,'All Payments'!60:60)</f>
        <v>0</v>
      </c>
      <c r="M62" s="11">
        <f t="shared" si="0"/>
        <v>460800</v>
      </c>
    </row>
    <row r="63" spans="5:13" x14ac:dyDescent="0.3">
      <c r="E63" s="2">
        <v>59</v>
      </c>
      <c r="F63" s="11">
        <f>SUMIF('All Payments'!$2:$2,F$3,'All Payments'!61:61)</f>
        <v>0</v>
      </c>
      <c r="G63" s="11">
        <f>SUMIF('All Payments'!$2:$2,G$3,'All Payments'!61:61)</f>
        <v>0</v>
      </c>
      <c r="H63" s="11">
        <f>SUMIF('All Payments'!$2:$2,H$3,'All Payments'!61:61)</f>
        <v>50400</v>
      </c>
      <c r="I63" s="11">
        <f>SUMIF('All Payments'!$2:$2,I$3,'All Payments'!61:61)</f>
        <v>300000</v>
      </c>
      <c r="J63" s="11">
        <f>SUMIF('All Payments'!$2:$2,J$3,'All Payments'!61:61)</f>
        <v>0</v>
      </c>
      <c r="K63" s="11">
        <f>SUMIF('All Payments'!$2:$2,K$3,'All Payments'!61:61)</f>
        <v>0</v>
      </c>
      <c r="L63" s="11">
        <f>SUMIF('All Payments'!$2:$2,L$3,'All Payments'!61:61)</f>
        <v>0</v>
      </c>
      <c r="M63" s="11">
        <f t="shared" si="0"/>
        <v>350400</v>
      </c>
    </row>
    <row r="64" spans="5:13" x14ac:dyDescent="0.3">
      <c r="E64" s="2">
        <v>60</v>
      </c>
      <c r="F64" s="11">
        <f>SUMIF('All Payments'!$2:$2,F$3,'All Payments'!62:62)</f>
        <v>0</v>
      </c>
      <c r="G64" s="11">
        <f>SUMIF('All Payments'!$2:$2,G$3,'All Payments'!62:62)</f>
        <v>0</v>
      </c>
      <c r="H64" s="11">
        <f>SUMIF('All Payments'!$2:$2,H$3,'All Payments'!62:62)</f>
        <v>50400</v>
      </c>
      <c r="I64" s="11">
        <f>SUMIF('All Payments'!$2:$2,I$3,'All Payments'!62:62)</f>
        <v>0</v>
      </c>
      <c r="J64" s="11">
        <f>SUMIF('All Payments'!$2:$2,J$3,'All Payments'!62:62)</f>
        <v>0</v>
      </c>
      <c r="K64" s="11">
        <f>SUMIF('All Payments'!$2:$2,K$3,'All Payments'!62:62)</f>
        <v>0</v>
      </c>
      <c r="L64" s="11">
        <f>SUMIF('All Payments'!$2:$2,L$3,'All Payments'!62:62)</f>
        <v>0</v>
      </c>
      <c r="M64" s="11">
        <f t="shared" si="0"/>
        <v>50400</v>
      </c>
    </row>
    <row r="65" spans="5:13" x14ac:dyDescent="0.3">
      <c r="E65" s="2">
        <v>61</v>
      </c>
      <c r="F65" s="11">
        <f>SUMIF('All Payments'!$2:$2,F$3,'All Payments'!63:63)</f>
        <v>0</v>
      </c>
      <c r="G65" s="11">
        <f>SUMIF('All Payments'!$2:$2,G$3,'All Payments'!63:63)</f>
        <v>0</v>
      </c>
      <c r="H65" s="11">
        <f>SUMIF('All Payments'!$2:$2,H$3,'All Payments'!63:63)</f>
        <v>43200</v>
      </c>
      <c r="I65" s="11">
        <f>SUMIF('All Payments'!$2:$2,I$3,'All Payments'!63:63)</f>
        <v>0</v>
      </c>
      <c r="J65" s="11">
        <f>SUMIF('All Payments'!$2:$2,J$3,'All Payments'!63:63)</f>
        <v>0</v>
      </c>
      <c r="K65" s="11">
        <f>SUMIF('All Payments'!$2:$2,K$3,'All Payments'!63:63)</f>
        <v>0</v>
      </c>
      <c r="L65" s="11">
        <f>SUMIF('All Payments'!$2:$2,L$3,'All Payments'!63:63)</f>
        <v>0</v>
      </c>
      <c r="M65" s="11">
        <f t="shared" si="0"/>
        <v>43200</v>
      </c>
    </row>
    <row r="66" spans="5:13" x14ac:dyDescent="0.3">
      <c r="E66" s="2">
        <v>62</v>
      </c>
      <c r="F66" s="11">
        <f>SUMIF('All Payments'!$2:$2,F$3,'All Payments'!64:64)</f>
        <v>0</v>
      </c>
      <c r="G66" s="11">
        <f>SUMIF('All Payments'!$2:$2,G$3,'All Payments'!64:64)</f>
        <v>0</v>
      </c>
      <c r="H66" s="11">
        <f>SUMIF('All Payments'!$2:$2,H$3,'All Payments'!64:64)</f>
        <v>36000</v>
      </c>
      <c r="I66" s="11">
        <f>SUMIF('All Payments'!$2:$2,I$3,'All Payments'!64:64)</f>
        <v>0</v>
      </c>
      <c r="J66" s="11">
        <f>SUMIF('All Payments'!$2:$2,J$3,'All Payments'!64:64)</f>
        <v>0</v>
      </c>
      <c r="K66" s="11">
        <f>SUMIF('All Payments'!$2:$2,K$3,'All Payments'!64:64)</f>
        <v>0</v>
      </c>
      <c r="L66" s="11">
        <f>SUMIF('All Payments'!$2:$2,L$3,'All Payments'!64:64)</f>
        <v>0</v>
      </c>
      <c r="M66" s="11">
        <f t="shared" si="0"/>
        <v>36000</v>
      </c>
    </row>
    <row r="67" spans="5:13" x14ac:dyDescent="0.3">
      <c r="E67" s="2">
        <v>63</v>
      </c>
      <c r="F67" s="11">
        <f>SUMIF('All Payments'!$2:$2,F$3,'All Payments'!65:65)</f>
        <v>0</v>
      </c>
      <c r="G67" s="11">
        <f>SUMIF('All Payments'!$2:$2,G$3,'All Payments'!65:65)</f>
        <v>0</v>
      </c>
      <c r="H67" s="11">
        <f>SUMIF('All Payments'!$2:$2,H$3,'All Payments'!65:65)</f>
        <v>36000</v>
      </c>
      <c r="I67" s="11">
        <f>SUMIF('All Payments'!$2:$2,I$3,'All Payments'!65:65)</f>
        <v>0</v>
      </c>
      <c r="J67" s="11">
        <f>SUMIF('All Payments'!$2:$2,J$3,'All Payments'!65:65)</f>
        <v>0</v>
      </c>
      <c r="K67" s="11">
        <f>SUMIF('All Payments'!$2:$2,K$3,'All Payments'!65:65)</f>
        <v>0</v>
      </c>
      <c r="L67" s="11">
        <f>SUMIF('All Payments'!$2:$2,L$3,'All Payments'!65:65)</f>
        <v>0</v>
      </c>
      <c r="M67" s="11">
        <f t="shared" si="0"/>
        <v>36000</v>
      </c>
    </row>
    <row r="68" spans="5:13" x14ac:dyDescent="0.3">
      <c r="E68" s="2">
        <v>64</v>
      </c>
      <c r="F68" s="11">
        <f>SUMIF('All Payments'!$2:$2,F$3,'All Payments'!66:66)</f>
        <v>0</v>
      </c>
      <c r="G68" s="11">
        <f>SUMIF('All Payments'!$2:$2,G$3,'All Payments'!66:66)</f>
        <v>0</v>
      </c>
      <c r="H68" s="11">
        <f>SUMIF('All Payments'!$2:$2,H$3,'All Payments'!66:66)</f>
        <v>36000</v>
      </c>
      <c r="I68" s="11">
        <f>SUMIF('All Payments'!$2:$2,I$3,'All Payments'!66:66)</f>
        <v>0</v>
      </c>
      <c r="J68" s="11">
        <f>SUMIF('All Payments'!$2:$2,J$3,'All Payments'!66:66)</f>
        <v>0</v>
      </c>
      <c r="K68" s="11">
        <f>SUMIF('All Payments'!$2:$2,K$3,'All Payments'!66:66)</f>
        <v>0</v>
      </c>
      <c r="L68" s="11">
        <f>SUMIF('All Payments'!$2:$2,L$3,'All Payments'!66:66)</f>
        <v>0</v>
      </c>
      <c r="M68" s="11">
        <f t="shared" si="0"/>
        <v>36000</v>
      </c>
    </row>
    <row r="69" spans="5:13" x14ac:dyDescent="0.3">
      <c r="E69" s="2">
        <v>65</v>
      </c>
      <c r="F69" s="11">
        <f>SUMIF('All Payments'!$2:$2,F$3,'All Payments'!67:67)</f>
        <v>0</v>
      </c>
      <c r="G69" s="11">
        <f>SUMIF('All Payments'!$2:$2,G$3,'All Payments'!67:67)</f>
        <v>0</v>
      </c>
      <c r="H69" s="11">
        <f>SUMIF('All Payments'!$2:$2,H$3,'All Payments'!67:67)</f>
        <v>21600</v>
      </c>
      <c r="I69" s="11">
        <f>SUMIF('All Payments'!$2:$2,I$3,'All Payments'!67:67)</f>
        <v>0</v>
      </c>
      <c r="J69" s="11">
        <f>SUMIF('All Payments'!$2:$2,J$3,'All Payments'!67:67)</f>
        <v>0</v>
      </c>
      <c r="K69" s="11">
        <f>SUMIF('All Payments'!$2:$2,K$3,'All Payments'!67:67)</f>
        <v>0</v>
      </c>
      <c r="L69" s="11">
        <f>SUMIF('All Payments'!$2:$2,L$3,'All Payments'!67:67)</f>
        <v>0</v>
      </c>
      <c r="M69" s="11">
        <f t="shared" si="0"/>
        <v>21600</v>
      </c>
    </row>
    <row r="70" spans="5:13" x14ac:dyDescent="0.3">
      <c r="E70" s="2">
        <v>66</v>
      </c>
      <c r="F70" s="11">
        <f>SUMIF('All Payments'!$2:$2,F$3,'All Payments'!68:68)</f>
        <v>0</v>
      </c>
      <c r="G70" s="11">
        <f>SUMIF('All Payments'!$2:$2,G$3,'All Payments'!68:68)</f>
        <v>0</v>
      </c>
      <c r="H70" s="11">
        <f>SUMIF('All Payments'!$2:$2,H$3,'All Payments'!68:68)</f>
        <v>21600</v>
      </c>
      <c r="I70" s="11">
        <f>SUMIF('All Payments'!$2:$2,I$3,'All Payments'!68:68)</f>
        <v>0</v>
      </c>
      <c r="J70" s="11">
        <f>SUMIF('All Payments'!$2:$2,J$3,'All Payments'!68:68)</f>
        <v>0</v>
      </c>
      <c r="K70" s="11">
        <f>SUMIF('All Payments'!$2:$2,K$3,'All Payments'!68:68)</f>
        <v>0</v>
      </c>
      <c r="L70" s="11">
        <f>SUMIF('All Payments'!$2:$2,L$3,'All Payments'!68:68)</f>
        <v>0</v>
      </c>
      <c r="M70" s="11">
        <f t="shared" ref="M70:M107" si="1">SUM(F70:L70)</f>
        <v>21600</v>
      </c>
    </row>
    <row r="71" spans="5:13" x14ac:dyDescent="0.3">
      <c r="E71" s="2">
        <v>67</v>
      </c>
      <c r="F71" s="11">
        <f>SUMIF('All Payments'!$2:$2,F$3,'All Payments'!69:69)</f>
        <v>0</v>
      </c>
      <c r="G71" s="11">
        <f>SUMIF('All Payments'!$2:$2,G$3,'All Payments'!69:69)</f>
        <v>0</v>
      </c>
      <c r="H71" s="11">
        <f>SUMIF('All Payments'!$2:$2,H$3,'All Payments'!69:69)</f>
        <v>21600</v>
      </c>
      <c r="I71" s="11">
        <f>SUMIF('All Payments'!$2:$2,I$3,'All Payments'!69:69)</f>
        <v>0</v>
      </c>
      <c r="J71" s="11">
        <f>SUMIF('All Payments'!$2:$2,J$3,'All Payments'!69:69)</f>
        <v>0</v>
      </c>
      <c r="K71" s="11">
        <f>SUMIF('All Payments'!$2:$2,K$3,'All Payments'!69:69)</f>
        <v>0</v>
      </c>
      <c r="L71" s="11">
        <f>SUMIF('All Payments'!$2:$2,L$3,'All Payments'!69:69)</f>
        <v>0</v>
      </c>
      <c r="M71" s="11">
        <f t="shared" si="1"/>
        <v>21600</v>
      </c>
    </row>
    <row r="72" spans="5:13" x14ac:dyDescent="0.3">
      <c r="E72" s="2">
        <v>68</v>
      </c>
      <c r="F72" s="11">
        <f>SUMIF('All Payments'!$2:$2,F$3,'All Payments'!70:70)</f>
        <v>0</v>
      </c>
      <c r="G72" s="11">
        <f>SUMIF('All Payments'!$2:$2,G$3,'All Payments'!70:70)</f>
        <v>0</v>
      </c>
      <c r="H72" s="11">
        <f>SUMIF('All Payments'!$2:$2,H$3,'All Payments'!70:70)</f>
        <v>21600</v>
      </c>
      <c r="I72" s="11">
        <f>SUMIF('All Payments'!$2:$2,I$3,'All Payments'!70:70)</f>
        <v>0</v>
      </c>
      <c r="J72" s="11">
        <f>SUMIF('All Payments'!$2:$2,J$3,'All Payments'!70:70)</f>
        <v>0</v>
      </c>
      <c r="K72" s="11">
        <f>SUMIF('All Payments'!$2:$2,K$3,'All Payments'!70:70)</f>
        <v>0</v>
      </c>
      <c r="L72" s="11">
        <f>SUMIF('All Payments'!$2:$2,L$3,'All Payments'!70:70)</f>
        <v>0</v>
      </c>
      <c r="M72" s="11">
        <f t="shared" si="1"/>
        <v>21600</v>
      </c>
    </row>
    <row r="73" spans="5:13" x14ac:dyDescent="0.3">
      <c r="E73" s="2">
        <v>69</v>
      </c>
      <c r="F73" s="11">
        <f>SUMIF('All Payments'!$2:$2,F$3,'All Payments'!71:71)</f>
        <v>0</v>
      </c>
      <c r="G73" s="11">
        <f>SUMIF('All Payments'!$2:$2,G$3,'All Payments'!71:71)</f>
        <v>0</v>
      </c>
      <c r="H73" s="11">
        <f>SUMIF('All Payments'!$2:$2,H$3,'All Payments'!71:71)</f>
        <v>7200</v>
      </c>
      <c r="I73" s="11">
        <f>SUMIF('All Payments'!$2:$2,I$3,'All Payments'!71:71)</f>
        <v>0</v>
      </c>
      <c r="J73" s="11">
        <f>SUMIF('All Payments'!$2:$2,J$3,'All Payments'!71:71)</f>
        <v>0</v>
      </c>
      <c r="K73" s="11">
        <f>SUMIF('All Payments'!$2:$2,K$3,'All Payments'!71:71)</f>
        <v>0</v>
      </c>
      <c r="L73" s="11">
        <f>SUMIF('All Payments'!$2:$2,L$3,'All Payments'!71:71)</f>
        <v>0</v>
      </c>
      <c r="M73" s="11">
        <f t="shared" si="1"/>
        <v>7200</v>
      </c>
    </row>
    <row r="74" spans="5:13" x14ac:dyDescent="0.3">
      <c r="E74" s="2">
        <v>70</v>
      </c>
      <c r="F74" s="11">
        <f>SUMIF('All Payments'!$2:$2,F$3,'All Payments'!72:72)</f>
        <v>0</v>
      </c>
      <c r="G74" s="11">
        <f>SUMIF('All Payments'!$2:$2,G$3,'All Payments'!72:72)</f>
        <v>0</v>
      </c>
      <c r="H74" s="11">
        <f>SUMIF('All Payments'!$2:$2,H$3,'All Payments'!72:72)</f>
        <v>0</v>
      </c>
      <c r="I74" s="11">
        <f>SUMIF('All Payments'!$2:$2,I$3,'All Payments'!72:72)</f>
        <v>0</v>
      </c>
      <c r="J74" s="11">
        <f>SUMIF('All Payments'!$2:$2,J$3,'All Payments'!72:72)</f>
        <v>0</v>
      </c>
      <c r="K74" s="11">
        <f>SUMIF('All Payments'!$2:$2,K$3,'All Payments'!72:72)</f>
        <v>0</v>
      </c>
      <c r="L74" s="11">
        <f>SUMIF('All Payments'!$2:$2,L$3,'All Payments'!72:72)</f>
        <v>0</v>
      </c>
      <c r="M74" s="11">
        <f t="shared" si="1"/>
        <v>0</v>
      </c>
    </row>
    <row r="75" spans="5:13" x14ac:dyDescent="0.3">
      <c r="E75" s="2">
        <v>71</v>
      </c>
      <c r="F75" s="11">
        <f>SUMIF('All Payments'!$2:$2,F$3,'All Payments'!73:73)</f>
        <v>0</v>
      </c>
      <c r="G75" s="11">
        <f>SUMIF('All Payments'!$2:$2,G$3,'All Payments'!73:73)</f>
        <v>0</v>
      </c>
      <c r="H75" s="11">
        <f>SUMIF('All Payments'!$2:$2,H$3,'All Payments'!73:73)</f>
        <v>0</v>
      </c>
      <c r="I75" s="11">
        <f>SUMIF('All Payments'!$2:$2,I$3,'All Payments'!73:73)</f>
        <v>0</v>
      </c>
      <c r="J75" s="11">
        <f>SUMIF('All Payments'!$2:$2,J$3,'All Payments'!73:73)</f>
        <v>0</v>
      </c>
      <c r="K75" s="11">
        <f>SUMIF('All Payments'!$2:$2,K$3,'All Payments'!73:73)</f>
        <v>0</v>
      </c>
      <c r="L75" s="11">
        <f>SUMIF('All Payments'!$2:$2,L$3,'All Payments'!73:73)</f>
        <v>0</v>
      </c>
      <c r="M75" s="11">
        <f t="shared" si="1"/>
        <v>0</v>
      </c>
    </row>
    <row r="76" spans="5:13" x14ac:dyDescent="0.3">
      <c r="E76" s="2">
        <v>72</v>
      </c>
      <c r="F76" s="11">
        <f>SUMIF('All Payments'!$2:$2,F$3,'All Payments'!74:74)</f>
        <v>0</v>
      </c>
      <c r="G76" s="11">
        <f>SUMIF('All Payments'!$2:$2,G$3,'All Payments'!74:74)</f>
        <v>0</v>
      </c>
      <c r="H76" s="11">
        <f>SUMIF('All Payments'!$2:$2,H$3,'All Payments'!74:74)</f>
        <v>0</v>
      </c>
      <c r="I76" s="11">
        <f>SUMIF('All Payments'!$2:$2,I$3,'All Payments'!74:74)</f>
        <v>0</v>
      </c>
      <c r="J76" s="11">
        <f>SUMIF('All Payments'!$2:$2,J$3,'All Payments'!74:74)</f>
        <v>0</v>
      </c>
      <c r="K76" s="11">
        <f>SUMIF('All Payments'!$2:$2,K$3,'All Payments'!74:74)</f>
        <v>0</v>
      </c>
      <c r="L76" s="11">
        <f>SUMIF('All Payments'!$2:$2,L$3,'All Payments'!74:74)</f>
        <v>0</v>
      </c>
      <c r="M76" s="11">
        <f t="shared" si="1"/>
        <v>0</v>
      </c>
    </row>
    <row r="77" spans="5:13" x14ac:dyDescent="0.3">
      <c r="E77" s="2">
        <v>73</v>
      </c>
      <c r="F77" s="11">
        <f>SUMIF('All Payments'!$2:$2,F$3,'All Payments'!75:75)</f>
        <v>0</v>
      </c>
      <c r="G77" s="11">
        <f>SUMIF('All Payments'!$2:$2,G$3,'All Payments'!75:75)</f>
        <v>0</v>
      </c>
      <c r="H77" s="11">
        <f>SUMIF('All Payments'!$2:$2,H$3,'All Payments'!75:75)</f>
        <v>0</v>
      </c>
      <c r="I77" s="11">
        <f>SUMIF('All Payments'!$2:$2,I$3,'All Payments'!75:75)</f>
        <v>0</v>
      </c>
      <c r="J77" s="11">
        <f>SUMIF('All Payments'!$2:$2,J$3,'All Payments'!75:75)</f>
        <v>0</v>
      </c>
      <c r="K77" s="11">
        <f>SUMIF('All Payments'!$2:$2,K$3,'All Payments'!75:75)</f>
        <v>0</v>
      </c>
      <c r="L77" s="11">
        <f>SUMIF('All Payments'!$2:$2,L$3,'All Payments'!75:75)</f>
        <v>0</v>
      </c>
      <c r="M77" s="11">
        <f t="shared" si="1"/>
        <v>0</v>
      </c>
    </row>
    <row r="78" spans="5:13" x14ac:dyDescent="0.3">
      <c r="E78" s="2">
        <v>74</v>
      </c>
      <c r="F78" s="11">
        <f>SUMIF('All Payments'!$2:$2,F$3,'All Payments'!76:76)</f>
        <v>0</v>
      </c>
      <c r="G78" s="11">
        <f>SUMIF('All Payments'!$2:$2,G$3,'All Payments'!76:76)</f>
        <v>0</v>
      </c>
      <c r="H78" s="11">
        <f>SUMIF('All Payments'!$2:$2,H$3,'All Payments'!76:76)</f>
        <v>0</v>
      </c>
      <c r="I78" s="11">
        <f>SUMIF('All Payments'!$2:$2,I$3,'All Payments'!76:76)</f>
        <v>0</v>
      </c>
      <c r="J78" s="11">
        <f>SUMIF('All Payments'!$2:$2,J$3,'All Payments'!76:76)</f>
        <v>0</v>
      </c>
      <c r="K78" s="11">
        <f>SUMIF('All Payments'!$2:$2,K$3,'All Payments'!76:76)</f>
        <v>0</v>
      </c>
      <c r="L78" s="11">
        <f>SUMIF('All Payments'!$2:$2,L$3,'All Payments'!76:76)</f>
        <v>0</v>
      </c>
      <c r="M78" s="11">
        <f t="shared" si="1"/>
        <v>0</v>
      </c>
    </row>
    <row r="79" spans="5:13" x14ac:dyDescent="0.3">
      <c r="E79" s="2">
        <v>75</v>
      </c>
      <c r="F79" s="11">
        <f>SUMIF('All Payments'!$2:$2,F$3,'All Payments'!77:77)</f>
        <v>0</v>
      </c>
      <c r="G79" s="11">
        <f>SUMIF('All Payments'!$2:$2,G$3,'All Payments'!77:77)</f>
        <v>0</v>
      </c>
      <c r="H79" s="11">
        <f>SUMIF('All Payments'!$2:$2,H$3,'All Payments'!77:77)</f>
        <v>0</v>
      </c>
      <c r="I79" s="11">
        <f>SUMIF('All Payments'!$2:$2,I$3,'All Payments'!77:77)</f>
        <v>0</v>
      </c>
      <c r="J79" s="11">
        <f>SUMIF('All Payments'!$2:$2,J$3,'All Payments'!77:77)</f>
        <v>0</v>
      </c>
      <c r="K79" s="11">
        <f>SUMIF('All Payments'!$2:$2,K$3,'All Payments'!77:77)</f>
        <v>0</v>
      </c>
      <c r="L79" s="11">
        <f>SUMIF('All Payments'!$2:$2,L$3,'All Payments'!77:77)</f>
        <v>0</v>
      </c>
      <c r="M79" s="11">
        <f t="shared" si="1"/>
        <v>0</v>
      </c>
    </row>
    <row r="80" spans="5:13" x14ac:dyDescent="0.3">
      <c r="E80" s="2">
        <v>76</v>
      </c>
      <c r="F80" s="11">
        <f>SUMIF('All Payments'!$2:$2,F$3,'All Payments'!78:78)</f>
        <v>0</v>
      </c>
      <c r="G80" s="11">
        <f>SUMIF('All Payments'!$2:$2,G$3,'All Payments'!78:78)</f>
        <v>0</v>
      </c>
      <c r="H80" s="11">
        <f>SUMIF('All Payments'!$2:$2,H$3,'All Payments'!78:78)</f>
        <v>0</v>
      </c>
      <c r="I80" s="11">
        <f>SUMIF('All Payments'!$2:$2,I$3,'All Payments'!78:78)</f>
        <v>0</v>
      </c>
      <c r="J80" s="11">
        <f>SUMIF('All Payments'!$2:$2,J$3,'All Payments'!78:78)</f>
        <v>0</v>
      </c>
      <c r="K80" s="11">
        <f>SUMIF('All Payments'!$2:$2,K$3,'All Payments'!78:78)</f>
        <v>0</v>
      </c>
      <c r="L80" s="11">
        <f>SUMIF('All Payments'!$2:$2,L$3,'All Payments'!78:78)</f>
        <v>0</v>
      </c>
      <c r="M80" s="11">
        <f t="shared" si="1"/>
        <v>0</v>
      </c>
    </row>
    <row r="81" spans="5:13" x14ac:dyDescent="0.3">
      <c r="E81" s="2">
        <v>77</v>
      </c>
      <c r="F81" s="11">
        <f>SUMIF('All Payments'!$2:$2,F$3,'All Payments'!79:79)</f>
        <v>0</v>
      </c>
      <c r="G81" s="11">
        <f>SUMIF('All Payments'!$2:$2,G$3,'All Payments'!79:79)</f>
        <v>0</v>
      </c>
      <c r="H81" s="11">
        <f>SUMIF('All Payments'!$2:$2,H$3,'All Payments'!79:79)</f>
        <v>0</v>
      </c>
      <c r="I81" s="11">
        <f>SUMIF('All Payments'!$2:$2,I$3,'All Payments'!79:79)</f>
        <v>0</v>
      </c>
      <c r="J81" s="11">
        <f>SUMIF('All Payments'!$2:$2,J$3,'All Payments'!79:79)</f>
        <v>0</v>
      </c>
      <c r="K81" s="11">
        <f>SUMIF('All Payments'!$2:$2,K$3,'All Payments'!79:79)</f>
        <v>0</v>
      </c>
      <c r="L81" s="11">
        <f>SUMIF('All Payments'!$2:$2,L$3,'All Payments'!79:79)</f>
        <v>0</v>
      </c>
      <c r="M81" s="11">
        <f t="shared" si="1"/>
        <v>0</v>
      </c>
    </row>
    <row r="82" spans="5:13" x14ac:dyDescent="0.3">
      <c r="E82" s="2">
        <v>78</v>
      </c>
      <c r="F82" s="11">
        <f>SUMIF('All Payments'!$2:$2,F$3,'All Payments'!80:80)</f>
        <v>0</v>
      </c>
      <c r="G82" s="11">
        <f>SUMIF('All Payments'!$2:$2,G$3,'All Payments'!80:80)</f>
        <v>0</v>
      </c>
      <c r="H82" s="11">
        <f>SUMIF('All Payments'!$2:$2,H$3,'All Payments'!80:80)</f>
        <v>0</v>
      </c>
      <c r="I82" s="11">
        <f>SUMIF('All Payments'!$2:$2,I$3,'All Payments'!80:80)</f>
        <v>0</v>
      </c>
      <c r="J82" s="11">
        <f>SUMIF('All Payments'!$2:$2,J$3,'All Payments'!80:80)</f>
        <v>0</v>
      </c>
      <c r="K82" s="11">
        <f>SUMIF('All Payments'!$2:$2,K$3,'All Payments'!80:80)</f>
        <v>0</v>
      </c>
      <c r="L82" s="11">
        <f>SUMIF('All Payments'!$2:$2,L$3,'All Payments'!80:80)</f>
        <v>0</v>
      </c>
      <c r="M82" s="11">
        <f t="shared" si="1"/>
        <v>0</v>
      </c>
    </row>
    <row r="83" spans="5:13" x14ac:dyDescent="0.3">
      <c r="E83" s="2">
        <v>79</v>
      </c>
      <c r="F83" s="11">
        <f>SUMIF('All Payments'!$2:$2,F$3,'All Payments'!81:81)</f>
        <v>0</v>
      </c>
      <c r="G83" s="11">
        <f>SUMIF('All Payments'!$2:$2,G$3,'All Payments'!81:81)</f>
        <v>0</v>
      </c>
      <c r="H83" s="11">
        <f>SUMIF('All Payments'!$2:$2,H$3,'All Payments'!81:81)</f>
        <v>0</v>
      </c>
      <c r="I83" s="11">
        <f>SUMIF('All Payments'!$2:$2,I$3,'All Payments'!81:81)</f>
        <v>0</v>
      </c>
      <c r="J83" s="11">
        <f>SUMIF('All Payments'!$2:$2,J$3,'All Payments'!81:81)</f>
        <v>0</v>
      </c>
      <c r="K83" s="11">
        <f>SUMIF('All Payments'!$2:$2,K$3,'All Payments'!81:81)</f>
        <v>0</v>
      </c>
      <c r="L83" s="11">
        <f>SUMIF('All Payments'!$2:$2,L$3,'All Payments'!81:81)</f>
        <v>0</v>
      </c>
      <c r="M83" s="11">
        <f t="shared" si="1"/>
        <v>0</v>
      </c>
    </row>
    <row r="84" spans="5:13" x14ac:dyDescent="0.3">
      <c r="E84" s="2">
        <v>80</v>
      </c>
      <c r="F84" s="11">
        <f>SUMIF('All Payments'!$2:$2,F$3,'All Payments'!82:82)</f>
        <v>0</v>
      </c>
      <c r="G84" s="11">
        <f>SUMIF('All Payments'!$2:$2,G$3,'All Payments'!82:82)</f>
        <v>0</v>
      </c>
      <c r="H84" s="11">
        <f>SUMIF('All Payments'!$2:$2,H$3,'All Payments'!82:82)</f>
        <v>0</v>
      </c>
      <c r="I84" s="11">
        <f>SUMIF('All Payments'!$2:$2,I$3,'All Payments'!82:82)</f>
        <v>0</v>
      </c>
      <c r="J84" s="11">
        <f>SUMIF('All Payments'!$2:$2,J$3,'All Payments'!82:82)</f>
        <v>0</v>
      </c>
      <c r="K84" s="11">
        <f>SUMIF('All Payments'!$2:$2,K$3,'All Payments'!82:82)</f>
        <v>0</v>
      </c>
      <c r="L84" s="11">
        <f>SUMIF('All Payments'!$2:$2,L$3,'All Payments'!82:82)</f>
        <v>0</v>
      </c>
      <c r="M84" s="11">
        <f t="shared" si="1"/>
        <v>0</v>
      </c>
    </row>
    <row r="85" spans="5:13" x14ac:dyDescent="0.3">
      <c r="E85" s="2">
        <v>81</v>
      </c>
      <c r="F85" s="11">
        <f>SUMIF('All Payments'!$2:$2,F$3,'All Payments'!83:83)</f>
        <v>0</v>
      </c>
      <c r="G85" s="11">
        <f>SUMIF('All Payments'!$2:$2,G$3,'All Payments'!83:83)</f>
        <v>0</v>
      </c>
      <c r="H85" s="11">
        <f>SUMIF('All Payments'!$2:$2,H$3,'All Payments'!83:83)</f>
        <v>0</v>
      </c>
      <c r="I85" s="11">
        <f>SUMIF('All Payments'!$2:$2,I$3,'All Payments'!83:83)</f>
        <v>0</v>
      </c>
      <c r="J85" s="11">
        <f>SUMIF('All Payments'!$2:$2,J$3,'All Payments'!83:83)</f>
        <v>0</v>
      </c>
      <c r="K85" s="11">
        <f>SUMIF('All Payments'!$2:$2,K$3,'All Payments'!83:83)</f>
        <v>0</v>
      </c>
      <c r="L85" s="11">
        <f>SUMIF('All Payments'!$2:$2,L$3,'All Payments'!83:83)</f>
        <v>0</v>
      </c>
      <c r="M85" s="11">
        <f t="shared" si="1"/>
        <v>0</v>
      </c>
    </row>
    <row r="86" spans="5:13" x14ac:dyDescent="0.3">
      <c r="E86" s="2">
        <v>82</v>
      </c>
      <c r="F86" s="11">
        <f>SUMIF('All Payments'!$2:$2,F$3,'All Payments'!84:84)</f>
        <v>0</v>
      </c>
      <c r="G86" s="11">
        <f>SUMIF('All Payments'!$2:$2,G$3,'All Payments'!84:84)</f>
        <v>0</v>
      </c>
      <c r="H86" s="11">
        <f>SUMIF('All Payments'!$2:$2,H$3,'All Payments'!84:84)</f>
        <v>0</v>
      </c>
      <c r="I86" s="11">
        <f>SUMIF('All Payments'!$2:$2,I$3,'All Payments'!84:84)</f>
        <v>0</v>
      </c>
      <c r="J86" s="11">
        <f>SUMIF('All Payments'!$2:$2,J$3,'All Payments'!84:84)</f>
        <v>0</v>
      </c>
      <c r="K86" s="11">
        <f>SUMIF('All Payments'!$2:$2,K$3,'All Payments'!84:84)</f>
        <v>0</v>
      </c>
      <c r="L86" s="11">
        <f>SUMIF('All Payments'!$2:$2,L$3,'All Payments'!84:84)</f>
        <v>0</v>
      </c>
      <c r="M86" s="11">
        <f t="shared" si="1"/>
        <v>0</v>
      </c>
    </row>
    <row r="87" spans="5:13" x14ac:dyDescent="0.3">
      <c r="E87" s="2">
        <v>83</v>
      </c>
      <c r="F87" s="11">
        <f>SUMIF('All Payments'!$2:$2,F$3,'All Payments'!85:85)</f>
        <v>0</v>
      </c>
      <c r="G87" s="11">
        <f>SUMIF('All Payments'!$2:$2,G$3,'All Payments'!85:85)</f>
        <v>0</v>
      </c>
      <c r="H87" s="11">
        <f>SUMIF('All Payments'!$2:$2,H$3,'All Payments'!85:85)</f>
        <v>0</v>
      </c>
      <c r="I87" s="11">
        <f>SUMIF('All Payments'!$2:$2,I$3,'All Payments'!85:85)</f>
        <v>0</v>
      </c>
      <c r="J87" s="11">
        <f>SUMIF('All Payments'!$2:$2,J$3,'All Payments'!85:85)</f>
        <v>0</v>
      </c>
      <c r="K87" s="11">
        <f>SUMIF('All Payments'!$2:$2,K$3,'All Payments'!85:85)</f>
        <v>0</v>
      </c>
      <c r="L87" s="11">
        <f>SUMIF('All Payments'!$2:$2,L$3,'All Payments'!85:85)</f>
        <v>0</v>
      </c>
      <c r="M87" s="11">
        <f t="shared" si="1"/>
        <v>0</v>
      </c>
    </row>
    <row r="88" spans="5:13" x14ac:dyDescent="0.3">
      <c r="E88" s="2">
        <v>84</v>
      </c>
      <c r="F88" s="11">
        <f>SUMIF('All Payments'!$2:$2,F$3,'All Payments'!86:86)</f>
        <v>0</v>
      </c>
      <c r="G88" s="11">
        <f>SUMIF('All Payments'!$2:$2,G$3,'All Payments'!86:86)</f>
        <v>0</v>
      </c>
      <c r="H88" s="11">
        <f>SUMIF('All Payments'!$2:$2,H$3,'All Payments'!86:86)</f>
        <v>0</v>
      </c>
      <c r="I88" s="11">
        <f>SUMIF('All Payments'!$2:$2,I$3,'All Payments'!86:86)</f>
        <v>0</v>
      </c>
      <c r="J88" s="11">
        <f>SUMIF('All Payments'!$2:$2,J$3,'All Payments'!86:86)</f>
        <v>0</v>
      </c>
      <c r="K88" s="11">
        <f>SUMIF('All Payments'!$2:$2,K$3,'All Payments'!86:86)</f>
        <v>0</v>
      </c>
      <c r="L88" s="11">
        <f>SUMIF('All Payments'!$2:$2,L$3,'All Payments'!86:86)</f>
        <v>0</v>
      </c>
      <c r="M88" s="11">
        <f t="shared" si="1"/>
        <v>0</v>
      </c>
    </row>
    <row r="89" spans="5:13" x14ac:dyDescent="0.3">
      <c r="E89" s="2">
        <v>85</v>
      </c>
      <c r="F89" s="11">
        <f>SUMIF('All Payments'!$2:$2,F$3,'All Payments'!87:87)</f>
        <v>0</v>
      </c>
      <c r="G89" s="11">
        <f>SUMIF('All Payments'!$2:$2,G$3,'All Payments'!87:87)</f>
        <v>0</v>
      </c>
      <c r="H89" s="11">
        <f>SUMIF('All Payments'!$2:$2,H$3,'All Payments'!87:87)</f>
        <v>0</v>
      </c>
      <c r="I89" s="11">
        <f>SUMIF('All Payments'!$2:$2,I$3,'All Payments'!87:87)</f>
        <v>0</v>
      </c>
      <c r="J89" s="11">
        <f>SUMIF('All Payments'!$2:$2,J$3,'All Payments'!87:87)</f>
        <v>0</v>
      </c>
      <c r="K89" s="11">
        <f>SUMIF('All Payments'!$2:$2,K$3,'All Payments'!87:87)</f>
        <v>0</v>
      </c>
      <c r="L89" s="11">
        <f>SUMIF('All Payments'!$2:$2,L$3,'All Payments'!87:87)</f>
        <v>0</v>
      </c>
      <c r="M89" s="11">
        <f t="shared" si="1"/>
        <v>0</v>
      </c>
    </row>
    <row r="90" spans="5:13" x14ac:dyDescent="0.3">
      <c r="E90" s="2">
        <v>86</v>
      </c>
      <c r="F90" s="11">
        <f>SUMIF('All Payments'!$2:$2,F$3,'All Payments'!88:88)</f>
        <v>0</v>
      </c>
      <c r="G90" s="11">
        <f>SUMIF('All Payments'!$2:$2,G$3,'All Payments'!88:88)</f>
        <v>0</v>
      </c>
      <c r="H90" s="11">
        <f>SUMIF('All Payments'!$2:$2,H$3,'All Payments'!88:88)</f>
        <v>0</v>
      </c>
      <c r="I90" s="11">
        <f>SUMIF('All Payments'!$2:$2,I$3,'All Payments'!88:88)</f>
        <v>0</v>
      </c>
      <c r="J90" s="11">
        <f>SUMIF('All Payments'!$2:$2,J$3,'All Payments'!88:88)</f>
        <v>0</v>
      </c>
      <c r="K90" s="11">
        <f>SUMIF('All Payments'!$2:$2,K$3,'All Payments'!88:88)</f>
        <v>0</v>
      </c>
      <c r="L90" s="11">
        <f>SUMIF('All Payments'!$2:$2,L$3,'All Payments'!88:88)</f>
        <v>0</v>
      </c>
      <c r="M90" s="11">
        <f t="shared" si="1"/>
        <v>0</v>
      </c>
    </row>
    <row r="91" spans="5:13" x14ac:dyDescent="0.3">
      <c r="E91" s="2">
        <v>87</v>
      </c>
      <c r="F91" s="11">
        <f>SUMIF('All Payments'!$2:$2,F$3,'All Payments'!89:89)</f>
        <v>0</v>
      </c>
      <c r="G91" s="11">
        <f>SUMIF('All Payments'!$2:$2,G$3,'All Payments'!89:89)</f>
        <v>0</v>
      </c>
      <c r="H91" s="11">
        <f>SUMIF('All Payments'!$2:$2,H$3,'All Payments'!89:89)</f>
        <v>0</v>
      </c>
      <c r="I91" s="11">
        <f>SUMIF('All Payments'!$2:$2,I$3,'All Payments'!89:89)</f>
        <v>0</v>
      </c>
      <c r="J91" s="11">
        <f>SUMIF('All Payments'!$2:$2,J$3,'All Payments'!89:89)</f>
        <v>0</v>
      </c>
      <c r="K91" s="11">
        <f>SUMIF('All Payments'!$2:$2,K$3,'All Payments'!89:89)</f>
        <v>0</v>
      </c>
      <c r="L91" s="11">
        <f>SUMIF('All Payments'!$2:$2,L$3,'All Payments'!89:89)</f>
        <v>0</v>
      </c>
      <c r="M91" s="11">
        <f t="shared" si="1"/>
        <v>0</v>
      </c>
    </row>
    <row r="92" spans="5:13" x14ac:dyDescent="0.3">
      <c r="E92" s="2">
        <v>88</v>
      </c>
      <c r="F92" s="11">
        <f>SUMIF('All Payments'!$2:$2,F$3,'All Payments'!90:90)</f>
        <v>0</v>
      </c>
      <c r="G92" s="11">
        <f>SUMIF('All Payments'!$2:$2,G$3,'All Payments'!90:90)</f>
        <v>0</v>
      </c>
      <c r="H92" s="11">
        <f>SUMIF('All Payments'!$2:$2,H$3,'All Payments'!90:90)</f>
        <v>0</v>
      </c>
      <c r="I92" s="11">
        <f>SUMIF('All Payments'!$2:$2,I$3,'All Payments'!90:90)</f>
        <v>0</v>
      </c>
      <c r="J92" s="11">
        <f>SUMIF('All Payments'!$2:$2,J$3,'All Payments'!90:90)</f>
        <v>0</v>
      </c>
      <c r="K92" s="11">
        <f>SUMIF('All Payments'!$2:$2,K$3,'All Payments'!90:90)</f>
        <v>0</v>
      </c>
      <c r="L92" s="11">
        <f>SUMIF('All Payments'!$2:$2,L$3,'All Payments'!90:90)</f>
        <v>0</v>
      </c>
      <c r="M92" s="11">
        <f t="shared" si="1"/>
        <v>0</v>
      </c>
    </row>
    <row r="93" spans="5:13" x14ac:dyDescent="0.3">
      <c r="E93" s="2">
        <v>89</v>
      </c>
      <c r="F93" s="11">
        <f>SUMIF('All Payments'!$2:$2,F$3,'All Payments'!91:91)</f>
        <v>0</v>
      </c>
      <c r="G93" s="11">
        <f>SUMIF('All Payments'!$2:$2,G$3,'All Payments'!91:91)</f>
        <v>0</v>
      </c>
      <c r="H93" s="11">
        <f>SUMIF('All Payments'!$2:$2,H$3,'All Payments'!91:91)</f>
        <v>0</v>
      </c>
      <c r="I93" s="11">
        <f>SUMIF('All Payments'!$2:$2,I$3,'All Payments'!91:91)</f>
        <v>0</v>
      </c>
      <c r="J93" s="11">
        <f>SUMIF('All Payments'!$2:$2,J$3,'All Payments'!91:91)</f>
        <v>0</v>
      </c>
      <c r="K93" s="11">
        <f>SUMIF('All Payments'!$2:$2,K$3,'All Payments'!91:91)</f>
        <v>0</v>
      </c>
      <c r="L93" s="11">
        <f>SUMIF('All Payments'!$2:$2,L$3,'All Payments'!91:91)</f>
        <v>0</v>
      </c>
      <c r="M93" s="11">
        <f t="shared" si="1"/>
        <v>0</v>
      </c>
    </row>
    <row r="94" spans="5:13" x14ac:dyDescent="0.3">
      <c r="E94" s="2">
        <v>90</v>
      </c>
      <c r="F94" s="11">
        <f>SUMIF('All Payments'!$2:$2,F$3,'All Payments'!92:92)</f>
        <v>0</v>
      </c>
      <c r="G94" s="11">
        <f>SUMIF('All Payments'!$2:$2,G$3,'All Payments'!92:92)</f>
        <v>0</v>
      </c>
      <c r="H94" s="11">
        <f>SUMIF('All Payments'!$2:$2,H$3,'All Payments'!92:92)</f>
        <v>0</v>
      </c>
      <c r="I94" s="11">
        <f>SUMIF('All Payments'!$2:$2,I$3,'All Payments'!92:92)</f>
        <v>0</v>
      </c>
      <c r="J94" s="11">
        <f>SUMIF('All Payments'!$2:$2,J$3,'All Payments'!92:92)</f>
        <v>0</v>
      </c>
      <c r="K94" s="11">
        <f>SUMIF('All Payments'!$2:$2,K$3,'All Payments'!92:92)</f>
        <v>0</v>
      </c>
      <c r="L94" s="11">
        <f>SUMIF('All Payments'!$2:$2,L$3,'All Payments'!92:92)</f>
        <v>0</v>
      </c>
      <c r="M94" s="11">
        <f t="shared" si="1"/>
        <v>0</v>
      </c>
    </row>
    <row r="95" spans="5:13" x14ac:dyDescent="0.3">
      <c r="E95" s="2">
        <v>91</v>
      </c>
      <c r="F95" s="11">
        <f>SUMIF('All Payments'!$2:$2,F$3,'All Payments'!93:93)</f>
        <v>0</v>
      </c>
      <c r="G95" s="11">
        <f>SUMIF('All Payments'!$2:$2,G$3,'All Payments'!93:93)</f>
        <v>0</v>
      </c>
      <c r="H95" s="11">
        <f>SUMIF('All Payments'!$2:$2,H$3,'All Payments'!93:93)</f>
        <v>0</v>
      </c>
      <c r="I95" s="11">
        <f>SUMIF('All Payments'!$2:$2,I$3,'All Payments'!93:93)</f>
        <v>0</v>
      </c>
      <c r="J95" s="11">
        <f>SUMIF('All Payments'!$2:$2,J$3,'All Payments'!93:93)</f>
        <v>0</v>
      </c>
      <c r="K95" s="11">
        <f>SUMIF('All Payments'!$2:$2,K$3,'All Payments'!93:93)</f>
        <v>0</v>
      </c>
      <c r="L95" s="11">
        <f>SUMIF('All Payments'!$2:$2,L$3,'All Payments'!93:93)</f>
        <v>0</v>
      </c>
      <c r="M95" s="11">
        <f t="shared" si="1"/>
        <v>0</v>
      </c>
    </row>
    <row r="96" spans="5:13" x14ac:dyDescent="0.3">
      <c r="E96" s="2">
        <v>92</v>
      </c>
      <c r="F96" s="11">
        <f>SUMIF('All Payments'!$2:$2,F$3,'All Payments'!94:94)</f>
        <v>0</v>
      </c>
      <c r="G96" s="11">
        <f>SUMIF('All Payments'!$2:$2,G$3,'All Payments'!94:94)</f>
        <v>0</v>
      </c>
      <c r="H96" s="11">
        <f>SUMIF('All Payments'!$2:$2,H$3,'All Payments'!94:94)</f>
        <v>0</v>
      </c>
      <c r="I96" s="11">
        <f>SUMIF('All Payments'!$2:$2,I$3,'All Payments'!94:94)</f>
        <v>0</v>
      </c>
      <c r="J96" s="11">
        <f>SUMIF('All Payments'!$2:$2,J$3,'All Payments'!94:94)</f>
        <v>0</v>
      </c>
      <c r="K96" s="11">
        <f>SUMIF('All Payments'!$2:$2,K$3,'All Payments'!94:94)</f>
        <v>0</v>
      </c>
      <c r="L96" s="11">
        <f>SUMIF('All Payments'!$2:$2,L$3,'All Payments'!94:94)</f>
        <v>0</v>
      </c>
      <c r="M96" s="11">
        <f t="shared" si="1"/>
        <v>0</v>
      </c>
    </row>
    <row r="97" spans="5:13" x14ac:dyDescent="0.3">
      <c r="E97" s="2">
        <v>93</v>
      </c>
      <c r="F97" s="11">
        <f>SUMIF('All Payments'!$2:$2,F$3,'All Payments'!95:95)</f>
        <v>0</v>
      </c>
      <c r="G97" s="11">
        <f>SUMIF('All Payments'!$2:$2,G$3,'All Payments'!95:95)</f>
        <v>0</v>
      </c>
      <c r="H97" s="11">
        <f>SUMIF('All Payments'!$2:$2,H$3,'All Payments'!95:95)</f>
        <v>0</v>
      </c>
      <c r="I97" s="11">
        <f>SUMIF('All Payments'!$2:$2,I$3,'All Payments'!95:95)</f>
        <v>0</v>
      </c>
      <c r="J97" s="11">
        <f>SUMIF('All Payments'!$2:$2,J$3,'All Payments'!95:95)</f>
        <v>0</v>
      </c>
      <c r="K97" s="11">
        <f>SUMIF('All Payments'!$2:$2,K$3,'All Payments'!95:95)</f>
        <v>0</v>
      </c>
      <c r="L97" s="11">
        <f>SUMIF('All Payments'!$2:$2,L$3,'All Payments'!95:95)</f>
        <v>0</v>
      </c>
      <c r="M97" s="11">
        <f t="shared" si="1"/>
        <v>0</v>
      </c>
    </row>
    <row r="98" spans="5:13" x14ac:dyDescent="0.3">
      <c r="E98" s="2">
        <v>94</v>
      </c>
      <c r="F98" s="11">
        <f>SUMIF('All Payments'!$2:$2,F$3,'All Payments'!96:96)</f>
        <v>0</v>
      </c>
      <c r="G98" s="11">
        <f>SUMIF('All Payments'!$2:$2,G$3,'All Payments'!96:96)</f>
        <v>0</v>
      </c>
      <c r="H98" s="11">
        <f>SUMIF('All Payments'!$2:$2,H$3,'All Payments'!96:96)</f>
        <v>0</v>
      </c>
      <c r="I98" s="11">
        <f>SUMIF('All Payments'!$2:$2,I$3,'All Payments'!96:96)</f>
        <v>0</v>
      </c>
      <c r="J98" s="11">
        <f>SUMIF('All Payments'!$2:$2,J$3,'All Payments'!96:96)</f>
        <v>0</v>
      </c>
      <c r="K98" s="11">
        <f>SUMIF('All Payments'!$2:$2,K$3,'All Payments'!96:96)</f>
        <v>0</v>
      </c>
      <c r="L98" s="11">
        <f>SUMIF('All Payments'!$2:$2,L$3,'All Payments'!96:96)</f>
        <v>0</v>
      </c>
      <c r="M98" s="11">
        <f t="shared" si="1"/>
        <v>0</v>
      </c>
    </row>
    <row r="99" spans="5:13" x14ac:dyDescent="0.3">
      <c r="E99" s="2">
        <v>95</v>
      </c>
      <c r="F99" s="11">
        <f>SUMIF('All Payments'!$2:$2,F$3,'All Payments'!97:97)</f>
        <v>0</v>
      </c>
      <c r="G99" s="11">
        <f>SUMIF('All Payments'!$2:$2,G$3,'All Payments'!97:97)</f>
        <v>0</v>
      </c>
      <c r="H99" s="11">
        <f>SUMIF('All Payments'!$2:$2,H$3,'All Payments'!97:97)</f>
        <v>0</v>
      </c>
      <c r="I99" s="11">
        <f>SUMIF('All Payments'!$2:$2,I$3,'All Payments'!97:97)</f>
        <v>0</v>
      </c>
      <c r="J99" s="11">
        <f>SUMIF('All Payments'!$2:$2,J$3,'All Payments'!97:97)</f>
        <v>0</v>
      </c>
      <c r="K99" s="11">
        <f>SUMIF('All Payments'!$2:$2,K$3,'All Payments'!97:97)</f>
        <v>0</v>
      </c>
      <c r="L99" s="11">
        <f>SUMIF('All Payments'!$2:$2,L$3,'All Payments'!97:97)</f>
        <v>0</v>
      </c>
      <c r="M99" s="11">
        <f t="shared" si="1"/>
        <v>0</v>
      </c>
    </row>
    <row r="100" spans="5:13" x14ac:dyDescent="0.3">
      <c r="E100" s="2">
        <v>96</v>
      </c>
      <c r="F100" s="11">
        <f>SUMIF('All Payments'!$2:$2,F$3,'All Payments'!98:98)</f>
        <v>0</v>
      </c>
      <c r="G100" s="11">
        <f>SUMIF('All Payments'!$2:$2,G$3,'All Payments'!98:98)</f>
        <v>0</v>
      </c>
      <c r="H100" s="11">
        <f>SUMIF('All Payments'!$2:$2,H$3,'All Payments'!98:98)</f>
        <v>0</v>
      </c>
      <c r="I100" s="11">
        <f>SUMIF('All Payments'!$2:$2,I$3,'All Payments'!98:98)</f>
        <v>0</v>
      </c>
      <c r="J100" s="11">
        <f>SUMIF('All Payments'!$2:$2,J$3,'All Payments'!98:98)</f>
        <v>0</v>
      </c>
      <c r="K100" s="11">
        <f>SUMIF('All Payments'!$2:$2,K$3,'All Payments'!98:98)</f>
        <v>0</v>
      </c>
      <c r="L100" s="11">
        <f>SUMIF('All Payments'!$2:$2,L$3,'All Payments'!98:98)</f>
        <v>0</v>
      </c>
      <c r="M100" s="11">
        <f t="shared" si="1"/>
        <v>0</v>
      </c>
    </row>
    <row r="101" spans="5:13" x14ac:dyDescent="0.3">
      <c r="E101" s="2">
        <v>97</v>
      </c>
      <c r="F101" s="11">
        <f>SUMIF('All Payments'!$2:$2,F$3,'All Payments'!99:99)</f>
        <v>0</v>
      </c>
      <c r="G101" s="11">
        <f>SUMIF('All Payments'!$2:$2,G$3,'All Payments'!99:99)</f>
        <v>0</v>
      </c>
      <c r="H101" s="11">
        <f>SUMIF('All Payments'!$2:$2,H$3,'All Payments'!99:99)</f>
        <v>0</v>
      </c>
      <c r="I101" s="11">
        <f>SUMIF('All Payments'!$2:$2,I$3,'All Payments'!99:99)</f>
        <v>0</v>
      </c>
      <c r="J101" s="11">
        <f>SUMIF('All Payments'!$2:$2,J$3,'All Payments'!99:99)</f>
        <v>0</v>
      </c>
      <c r="K101" s="11">
        <f>SUMIF('All Payments'!$2:$2,K$3,'All Payments'!99:99)</f>
        <v>0</v>
      </c>
      <c r="L101" s="11">
        <f>SUMIF('All Payments'!$2:$2,L$3,'All Payments'!99:99)</f>
        <v>0</v>
      </c>
      <c r="M101" s="11">
        <f t="shared" si="1"/>
        <v>0</v>
      </c>
    </row>
    <row r="102" spans="5:13" x14ac:dyDescent="0.3">
      <c r="E102" s="2">
        <v>98</v>
      </c>
      <c r="F102" s="11">
        <f>SUMIF('All Payments'!$2:$2,F$3,'All Payments'!100:100)</f>
        <v>0</v>
      </c>
      <c r="G102" s="11">
        <f>SUMIF('All Payments'!$2:$2,G$3,'All Payments'!100:100)</f>
        <v>0</v>
      </c>
      <c r="H102" s="11">
        <f>SUMIF('All Payments'!$2:$2,H$3,'All Payments'!100:100)</f>
        <v>0</v>
      </c>
      <c r="I102" s="11">
        <f>SUMIF('All Payments'!$2:$2,I$3,'All Payments'!100:100)</f>
        <v>0</v>
      </c>
      <c r="J102" s="11">
        <f>SUMIF('All Payments'!$2:$2,J$3,'All Payments'!100:100)</f>
        <v>0</v>
      </c>
      <c r="K102" s="11">
        <f>SUMIF('All Payments'!$2:$2,K$3,'All Payments'!100:100)</f>
        <v>0</v>
      </c>
      <c r="L102" s="11">
        <f>SUMIF('All Payments'!$2:$2,L$3,'All Payments'!100:100)</f>
        <v>0</v>
      </c>
      <c r="M102" s="11">
        <f t="shared" si="1"/>
        <v>0</v>
      </c>
    </row>
    <row r="103" spans="5:13" x14ac:dyDescent="0.3">
      <c r="E103" s="2">
        <v>99</v>
      </c>
      <c r="F103" s="11">
        <f>SUMIF('All Payments'!$2:$2,F$3,'All Payments'!101:101)</f>
        <v>0</v>
      </c>
      <c r="G103" s="11">
        <f>SUMIF('All Payments'!$2:$2,G$3,'All Payments'!101:101)</f>
        <v>0</v>
      </c>
      <c r="H103" s="11">
        <f>SUMIF('All Payments'!$2:$2,H$3,'All Payments'!101:101)</f>
        <v>0</v>
      </c>
      <c r="I103" s="11">
        <f>SUMIF('All Payments'!$2:$2,I$3,'All Payments'!101:101)</f>
        <v>0</v>
      </c>
      <c r="J103" s="11">
        <f>SUMIF('All Payments'!$2:$2,J$3,'All Payments'!101:101)</f>
        <v>0</v>
      </c>
      <c r="K103" s="11">
        <f>SUMIF('All Payments'!$2:$2,K$3,'All Payments'!101:101)</f>
        <v>0</v>
      </c>
      <c r="L103" s="11">
        <f>SUMIF('All Payments'!$2:$2,L$3,'All Payments'!101:101)</f>
        <v>0</v>
      </c>
      <c r="M103" s="11">
        <f t="shared" si="1"/>
        <v>0</v>
      </c>
    </row>
    <row r="104" spans="5:13" x14ac:dyDescent="0.3">
      <c r="E104" s="2">
        <v>100</v>
      </c>
      <c r="F104" s="11">
        <f>SUMIF('All Payments'!$2:$2,F$3,'All Payments'!102:102)</f>
        <v>0</v>
      </c>
      <c r="G104" s="11">
        <f>SUMIF('All Payments'!$2:$2,G$3,'All Payments'!102:102)</f>
        <v>0</v>
      </c>
      <c r="H104" s="11">
        <f>SUMIF('All Payments'!$2:$2,H$3,'All Payments'!102:102)</f>
        <v>0</v>
      </c>
      <c r="I104" s="11">
        <f>SUMIF('All Payments'!$2:$2,I$3,'All Payments'!102:102)</f>
        <v>0</v>
      </c>
      <c r="J104" s="11">
        <f>SUMIF('All Payments'!$2:$2,J$3,'All Payments'!102:102)</f>
        <v>0</v>
      </c>
      <c r="K104" s="11">
        <f>SUMIF('All Payments'!$2:$2,K$3,'All Payments'!102:102)</f>
        <v>0</v>
      </c>
      <c r="L104" s="11">
        <f>SUMIF('All Payments'!$2:$2,L$3,'All Payments'!102:102)</f>
        <v>0</v>
      </c>
      <c r="M104" s="11">
        <f t="shared" si="1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N27" sqref="N27"/>
    </sheetView>
  </sheetViews>
  <sheetFormatPr defaultRowHeight="14.4" x14ac:dyDescent="0.3"/>
  <cols>
    <col min="1" max="1" width="11.33203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Illustration Calc</vt:lpstr>
      <vt:lpstr>Plan Calc</vt:lpstr>
      <vt:lpstr>Block of Business</vt:lpstr>
      <vt:lpstr>All Payments</vt:lpstr>
      <vt:lpstr>Summary</vt:lpstr>
      <vt:lpstr>Graphs</vt:lpstr>
      <vt:lpstr>Policy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2024-04-17T12:55:31Z</dcterms:modified>
</cp:coreProperties>
</file>