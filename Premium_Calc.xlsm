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athg\Desktop\AAC\Rising Candidate\"/>
    </mc:Choice>
  </mc:AlternateContent>
  <bookViews>
    <workbookView xWindow="0" yWindow="0" windowWidth="23040" windowHeight="9072" activeTab="2"/>
  </bookViews>
  <sheets>
    <sheet name="Rate Tables" sheetId="1" r:id="rId1"/>
    <sheet name="Premium Calc" sheetId="4" r:id="rId2"/>
    <sheet name="Policy Data" sheetId="2" r:id="rId3"/>
    <sheet name="Policy holder Premiums" sheetId="6" r:id="rId4"/>
    <sheet name="Index Match" sheetId="5" r:id="rId5"/>
    <sheet name="Policy Data (2)" sheetId="3" state="hidden" r:id="rId6"/>
  </sheets>
  <definedNames>
    <definedName name="age_vs_gender">'Rate Tables'!$D$5:$AH$7</definedName>
    <definedName name="family_health">'Rate Tables'!$C$17:$D$22</definedName>
    <definedName name="health_history">'Rate Tables'!$C$10:$D$15</definedName>
    <definedName name="smoking_factor">'Rate Tables'!$C$24:$D$26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" l="1"/>
  <c r="B13" i="5"/>
  <c r="B12" i="5"/>
  <c r="B10" i="5"/>
  <c r="B9" i="5"/>
  <c r="AD7" i="1" l="1"/>
  <c r="AE7" i="1" s="1"/>
  <c r="AF7" i="1" s="1"/>
  <c r="AG7" i="1" s="1"/>
  <c r="AH7" i="1" s="1"/>
  <c r="AD6" i="1"/>
  <c r="AE6" i="1" s="1"/>
  <c r="AF6" i="1" s="1"/>
  <c r="AG6" i="1" s="1"/>
  <c r="AH6" i="1" s="1"/>
  <c r="D19" i="1"/>
  <c r="D20" i="1"/>
  <c r="D21" i="1"/>
  <c r="D22" i="1"/>
  <c r="D18" i="1"/>
  <c r="G12" i="4"/>
  <c r="Z7" i="1" l="1"/>
  <c r="AA7" i="1" s="1"/>
  <c r="AB7" i="1" s="1"/>
  <c r="AC7" i="1" s="1"/>
  <c r="Z6" i="1"/>
  <c r="AA6" i="1" s="1"/>
  <c r="AB6" i="1" s="1"/>
  <c r="AC6" i="1" s="1"/>
  <c r="H9" i="4" l="1"/>
  <c r="I9" i="4"/>
  <c r="J9" i="4"/>
  <c r="K9" i="4"/>
  <c r="L9" i="4"/>
  <c r="M9" i="4"/>
  <c r="N9" i="4"/>
  <c r="O9" i="4"/>
  <c r="P9" i="4"/>
  <c r="Q9" i="4"/>
  <c r="G9" i="4"/>
  <c r="H12" i="4"/>
  <c r="I12" i="4"/>
  <c r="J12" i="4"/>
  <c r="K12" i="4"/>
  <c r="L12" i="4"/>
  <c r="M12" i="4"/>
  <c r="N12" i="4"/>
  <c r="O12" i="4"/>
  <c r="P12" i="4"/>
  <c r="Q12" i="4"/>
  <c r="H15" i="4"/>
  <c r="I15" i="4"/>
  <c r="J15" i="4"/>
  <c r="K15" i="4"/>
  <c r="L15" i="4"/>
  <c r="M15" i="4"/>
  <c r="N15" i="4"/>
  <c r="O15" i="4"/>
  <c r="P15" i="4"/>
  <c r="Q15" i="4"/>
  <c r="G15" i="4"/>
  <c r="H4" i="4"/>
  <c r="H6" i="4" s="1"/>
  <c r="I4" i="4"/>
  <c r="I6" i="4" s="1"/>
  <c r="J4" i="4"/>
  <c r="J6" i="4" s="1"/>
  <c r="K4" i="4"/>
  <c r="K6" i="4" s="1"/>
  <c r="L4" i="4"/>
  <c r="L6" i="4" s="1"/>
  <c r="M4" i="4"/>
  <c r="M6" i="4" s="1"/>
  <c r="N4" i="4"/>
  <c r="N6" i="4" s="1"/>
  <c r="O4" i="4"/>
  <c r="O6" i="4" s="1"/>
  <c r="P4" i="4"/>
  <c r="P6" i="4" s="1"/>
  <c r="Q4" i="4"/>
  <c r="Q6" i="4" s="1"/>
  <c r="G4" i="4"/>
  <c r="G6" i="4" s="1"/>
  <c r="Q19" i="4" l="1"/>
  <c r="Q23" i="4" s="1"/>
  <c r="Q27" i="4" s="1"/>
  <c r="I19" i="4"/>
  <c r="I23" i="4" s="1"/>
  <c r="I27" i="4" s="1"/>
  <c r="H19" i="4"/>
  <c r="H23" i="4" s="1"/>
  <c r="H27" i="4" s="1"/>
  <c r="P19" i="4"/>
  <c r="P23" i="4" s="1"/>
  <c r="P27" i="4" s="1"/>
  <c r="O19" i="4"/>
  <c r="O23" i="4" s="1"/>
  <c r="O27" i="4" s="1"/>
  <c r="N19" i="4"/>
  <c r="N23" i="4" s="1"/>
  <c r="N27" i="4" s="1"/>
  <c r="M19" i="4"/>
  <c r="M23" i="4" s="1"/>
  <c r="M27" i="4" s="1"/>
  <c r="L19" i="4"/>
  <c r="L23" i="4" s="1"/>
  <c r="L27" i="4" s="1"/>
  <c r="K19" i="4"/>
  <c r="K23" i="4" s="1"/>
  <c r="K27" i="4" s="1"/>
  <c r="J19" i="4"/>
  <c r="J23" i="4" s="1"/>
  <c r="J27" i="4" s="1"/>
  <c r="G19" i="4"/>
  <c r="G23" i="4" s="1"/>
  <c r="G27" i="4" s="1"/>
  <c r="J101" i="3"/>
  <c r="F101" i="3" s="1"/>
  <c r="I101" i="3"/>
  <c r="E101" i="3" s="1"/>
  <c r="H101" i="3"/>
  <c r="C101" i="3" s="1"/>
  <c r="G101" i="3"/>
  <c r="D101" i="3"/>
  <c r="J100" i="3"/>
  <c r="F100" i="3" s="1"/>
  <c r="I100" i="3"/>
  <c r="E100" i="3" s="1"/>
  <c r="H100" i="3"/>
  <c r="C100" i="3" s="1"/>
  <c r="G100" i="3"/>
  <c r="D100" i="3"/>
  <c r="J99" i="3"/>
  <c r="F99" i="3" s="1"/>
  <c r="I99" i="3"/>
  <c r="E99" i="3" s="1"/>
  <c r="H99" i="3"/>
  <c r="C99" i="3" s="1"/>
  <c r="G99" i="3"/>
  <c r="D99" i="3"/>
  <c r="J98" i="3"/>
  <c r="F98" i="3" s="1"/>
  <c r="I98" i="3"/>
  <c r="E98" i="3" s="1"/>
  <c r="H98" i="3"/>
  <c r="C98" i="3" s="1"/>
  <c r="G98" i="3"/>
  <c r="D98" i="3"/>
  <c r="J97" i="3"/>
  <c r="F97" i="3" s="1"/>
  <c r="I97" i="3"/>
  <c r="E97" i="3" s="1"/>
  <c r="H97" i="3"/>
  <c r="C97" i="3" s="1"/>
  <c r="G97" i="3"/>
  <c r="D97" i="3"/>
  <c r="J96" i="3"/>
  <c r="F96" i="3" s="1"/>
  <c r="I96" i="3"/>
  <c r="E96" i="3" s="1"/>
  <c r="H96" i="3"/>
  <c r="C96" i="3" s="1"/>
  <c r="G96" i="3"/>
  <c r="D96" i="3"/>
  <c r="J95" i="3"/>
  <c r="F95" i="3" s="1"/>
  <c r="I95" i="3"/>
  <c r="E95" i="3" s="1"/>
  <c r="H95" i="3"/>
  <c r="C95" i="3" s="1"/>
  <c r="G95" i="3"/>
  <c r="D95" i="3"/>
  <c r="J94" i="3"/>
  <c r="F94" i="3" s="1"/>
  <c r="I94" i="3"/>
  <c r="E94" i="3" s="1"/>
  <c r="H94" i="3"/>
  <c r="C94" i="3" s="1"/>
  <c r="G94" i="3"/>
  <c r="D94" i="3"/>
  <c r="J93" i="3"/>
  <c r="F93" i="3" s="1"/>
  <c r="I93" i="3"/>
  <c r="E93" i="3" s="1"/>
  <c r="H93" i="3"/>
  <c r="C93" i="3" s="1"/>
  <c r="G93" i="3"/>
  <c r="D93" i="3"/>
  <c r="J92" i="3"/>
  <c r="F92" i="3" s="1"/>
  <c r="I92" i="3"/>
  <c r="E92" i="3" s="1"/>
  <c r="H92" i="3"/>
  <c r="C92" i="3" s="1"/>
  <c r="G92" i="3"/>
  <c r="D92" i="3"/>
  <c r="J91" i="3"/>
  <c r="F91" i="3" s="1"/>
  <c r="I91" i="3"/>
  <c r="E91" i="3" s="1"/>
  <c r="H91" i="3"/>
  <c r="C91" i="3" s="1"/>
  <c r="G91" i="3"/>
  <c r="D91" i="3"/>
  <c r="J90" i="3"/>
  <c r="F90" i="3" s="1"/>
  <c r="I90" i="3"/>
  <c r="E90" i="3" s="1"/>
  <c r="H90" i="3"/>
  <c r="C90" i="3" s="1"/>
  <c r="G90" i="3"/>
  <c r="D90" i="3"/>
  <c r="J89" i="3"/>
  <c r="F89" i="3" s="1"/>
  <c r="I89" i="3"/>
  <c r="E89" i="3" s="1"/>
  <c r="H89" i="3"/>
  <c r="C89" i="3" s="1"/>
  <c r="G89" i="3"/>
  <c r="D89" i="3"/>
  <c r="J88" i="3"/>
  <c r="F88" i="3" s="1"/>
  <c r="I88" i="3"/>
  <c r="E88" i="3" s="1"/>
  <c r="H88" i="3"/>
  <c r="C88" i="3" s="1"/>
  <c r="G88" i="3"/>
  <c r="D88" i="3"/>
  <c r="J87" i="3"/>
  <c r="F87" i="3" s="1"/>
  <c r="I87" i="3"/>
  <c r="E87" i="3" s="1"/>
  <c r="H87" i="3"/>
  <c r="C87" i="3" s="1"/>
  <c r="G87" i="3"/>
  <c r="D87" i="3"/>
  <c r="J86" i="3"/>
  <c r="F86" i="3" s="1"/>
  <c r="I86" i="3"/>
  <c r="E86" i="3" s="1"/>
  <c r="H86" i="3"/>
  <c r="C86" i="3" s="1"/>
  <c r="G86" i="3"/>
  <c r="D86" i="3"/>
  <c r="J85" i="3"/>
  <c r="F85" i="3" s="1"/>
  <c r="I85" i="3"/>
  <c r="E85" i="3" s="1"/>
  <c r="H85" i="3"/>
  <c r="C85" i="3" s="1"/>
  <c r="G85" i="3"/>
  <c r="D85" i="3"/>
  <c r="J84" i="3"/>
  <c r="F84" i="3" s="1"/>
  <c r="I84" i="3"/>
  <c r="E84" i="3" s="1"/>
  <c r="H84" i="3"/>
  <c r="C84" i="3" s="1"/>
  <c r="G84" i="3"/>
  <c r="D84" i="3"/>
  <c r="J83" i="3"/>
  <c r="F83" i="3" s="1"/>
  <c r="I83" i="3"/>
  <c r="E83" i="3" s="1"/>
  <c r="H83" i="3"/>
  <c r="C83" i="3" s="1"/>
  <c r="G83" i="3"/>
  <c r="D83" i="3"/>
  <c r="J82" i="3"/>
  <c r="F82" i="3" s="1"/>
  <c r="I82" i="3"/>
  <c r="E82" i="3" s="1"/>
  <c r="H82" i="3"/>
  <c r="C82" i="3" s="1"/>
  <c r="G82" i="3"/>
  <c r="D82" i="3"/>
  <c r="J81" i="3"/>
  <c r="F81" i="3" s="1"/>
  <c r="I81" i="3"/>
  <c r="E81" i="3" s="1"/>
  <c r="H81" i="3"/>
  <c r="C81" i="3" s="1"/>
  <c r="G81" i="3"/>
  <c r="D81" i="3"/>
  <c r="J80" i="3"/>
  <c r="F80" i="3" s="1"/>
  <c r="I80" i="3"/>
  <c r="E80" i="3" s="1"/>
  <c r="H80" i="3"/>
  <c r="C80" i="3" s="1"/>
  <c r="G80" i="3"/>
  <c r="D80" i="3"/>
  <c r="J79" i="3"/>
  <c r="F79" i="3" s="1"/>
  <c r="I79" i="3"/>
  <c r="E79" i="3" s="1"/>
  <c r="H79" i="3"/>
  <c r="C79" i="3" s="1"/>
  <c r="G79" i="3"/>
  <c r="D79" i="3"/>
  <c r="J78" i="3"/>
  <c r="F78" i="3" s="1"/>
  <c r="I78" i="3"/>
  <c r="E78" i="3" s="1"/>
  <c r="H78" i="3"/>
  <c r="C78" i="3" s="1"/>
  <c r="G78" i="3"/>
  <c r="D78" i="3"/>
  <c r="J77" i="3"/>
  <c r="F77" i="3" s="1"/>
  <c r="I77" i="3"/>
  <c r="E77" i="3" s="1"/>
  <c r="H77" i="3"/>
  <c r="C77" i="3" s="1"/>
  <c r="G77" i="3"/>
  <c r="D77" i="3"/>
  <c r="J76" i="3"/>
  <c r="F76" i="3" s="1"/>
  <c r="I76" i="3"/>
  <c r="E76" i="3" s="1"/>
  <c r="H76" i="3"/>
  <c r="C76" i="3" s="1"/>
  <c r="G76" i="3"/>
  <c r="D76" i="3"/>
  <c r="J75" i="3"/>
  <c r="F75" i="3" s="1"/>
  <c r="I75" i="3"/>
  <c r="E75" i="3" s="1"/>
  <c r="H75" i="3"/>
  <c r="C75" i="3" s="1"/>
  <c r="G75" i="3"/>
  <c r="D75" i="3"/>
  <c r="J74" i="3"/>
  <c r="F74" i="3" s="1"/>
  <c r="I74" i="3"/>
  <c r="E74" i="3" s="1"/>
  <c r="H74" i="3"/>
  <c r="C74" i="3" s="1"/>
  <c r="G74" i="3"/>
  <c r="D74" i="3"/>
  <c r="J73" i="3"/>
  <c r="F73" i="3" s="1"/>
  <c r="I73" i="3"/>
  <c r="E73" i="3" s="1"/>
  <c r="H73" i="3"/>
  <c r="C73" i="3" s="1"/>
  <c r="G73" i="3"/>
  <c r="D73" i="3"/>
  <c r="J72" i="3"/>
  <c r="F72" i="3" s="1"/>
  <c r="I72" i="3"/>
  <c r="E72" i="3" s="1"/>
  <c r="H72" i="3"/>
  <c r="C72" i="3" s="1"/>
  <c r="G72" i="3"/>
  <c r="D72" i="3"/>
  <c r="J71" i="3"/>
  <c r="F71" i="3" s="1"/>
  <c r="I71" i="3"/>
  <c r="E71" i="3" s="1"/>
  <c r="H71" i="3"/>
  <c r="C71" i="3" s="1"/>
  <c r="G71" i="3"/>
  <c r="D71" i="3"/>
  <c r="J70" i="3"/>
  <c r="F70" i="3" s="1"/>
  <c r="I70" i="3"/>
  <c r="E70" i="3" s="1"/>
  <c r="H70" i="3"/>
  <c r="C70" i="3" s="1"/>
  <c r="G70" i="3"/>
  <c r="D70" i="3"/>
  <c r="J69" i="3"/>
  <c r="F69" i="3" s="1"/>
  <c r="I69" i="3"/>
  <c r="E69" i="3" s="1"/>
  <c r="H69" i="3"/>
  <c r="C69" i="3" s="1"/>
  <c r="G69" i="3"/>
  <c r="D69" i="3"/>
  <c r="J68" i="3"/>
  <c r="F68" i="3" s="1"/>
  <c r="I68" i="3"/>
  <c r="E68" i="3" s="1"/>
  <c r="H68" i="3"/>
  <c r="C68" i="3" s="1"/>
  <c r="G68" i="3"/>
  <c r="D68" i="3"/>
  <c r="J67" i="3"/>
  <c r="F67" i="3" s="1"/>
  <c r="I67" i="3"/>
  <c r="E67" i="3" s="1"/>
  <c r="H67" i="3"/>
  <c r="C67" i="3" s="1"/>
  <c r="G67" i="3"/>
  <c r="D67" i="3"/>
  <c r="J66" i="3"/>
  <c r="F66" i="3" s="1"/>
  <c r="I66" i="3"/>
  <c r="E66" i="3" s="1"/>
  <c r="H66" i="3"/>
  <c r="C66" i="3" s="1"/>
  <c r="G66" i="3"/>
  <c r="D66" i="3"/>
  <c r="J65" i="3"/>
  <c r="F65" i="3" s="1"/>
  <c r="I65" i="3"/>
  <c r="E65" i="3" s="1"/>
  <c r="H65" i="3"/>
  <c r="C65" i="3" s="1"/>
  <c r="G65" i="3"/>
  <c r="D65" i="3"/>
  <c r="J64" i="3"/>
  <c r="F64" i="3" s="1"/>
  <c r="I64" i="3"/>
  <c r="E64" i="3" s="1"/>
  <c r="H64" i="3"/>
  <c r="C64" i="3" s="1"/>
  <c r="G64" i="3"/>
  <c r="D64" i="3"/>
  <c r="J63" i="3"/>
  <c r="F63" i="3" s="1"/>
  <c r="I63" i="3"/>
  <c r="E63" i="3" s="1"/>
  <c r="H63" i="3"/>
  <c r="C63" i="3" s="1"/>
  <c r="G63" i="3"/>
  <c r="D63" i="3"/>
  <c r="J62" i="3"/>
  <c r="F62" i="3" s="1"/>
  <c r="I62" i="3"/>
  <c r="E62" i="3" s="1"/>
  <c r="H62" i="3"/>
  <c r="C62" i="3" s="1"/>
  <c r="G62" i="3"/>
  <c r="D62" i="3"/>
  <c r="J61" i="3"/>
  <c r="F61" i="3" s="1"/>
  <c r="I61" i="3"/>
  <c r="E61" i="3" s="1"/>
  <c r="H61" i="3"/>
  <c r="C61" i="3" s="1"/>
  <c r="G61" i="3"/>
  <c r="D61" i="3"/>
  <c r="J60" i="3"/>
  <c r="F60" i="3" s="1"/>
  <c r="I60" i="3"/>
  <c r="E60" i="3" s="1"/>
  <c r="H60" i="3"/>
  <c r="C60" i="3" s="1"/>
  <c r="G60" i="3"/>
  <c r="D60" i="3"/>
  <c r="J59" i="3"/>
  <c r="F59" i="3" s="1"/>
  <c r="I59" i="3"/>
  <c r="E59" i="3" s="1"/>
  <c r="H59" i="3"/>
  <c r="C59" i="3" s="1"/>
  <c r="G59" i="3"/>
  <c r="D59" i="3"/>
  <c r="J58" i="3"/>
  <c r="F58" i="3" s="1"/>
  <c r="I58" i="3"/>
  <c r="E58" i="3" s="1"/>
  <c r="H58" i="3"/>
  <c r="C58" i="3" s="1"/>
  <c r="G58" i="3"/>
  <c r="D58" i="3"/>
  <c r="J57" i="3"/>
  <c r="F57" i="3" s="1"/>
  <c r="I57" i="3"/>
  <c r="E57" i="3" s="1"/>
  <c r="H57" i="3"/>
  <c r="C57" i="3" s="1"/>
  <c r="G57" i="3"/>
  <c r="D57" i="3"/>
  <c r="J56" i="3"/>
  <c r="F56" i="3" s="1"/>
  <c r="I56" i="3"/>
  <c r="E56" i="3" s="1"/>
  <c r="H56" i="3"/>
  <c r="C56" i="3" s="1"/>
  <c r="G56" i="3"/>
  <c r="D56" i="3"/>
  <c r="J55" i="3"/>
  <c r="F55" i="3" s="1"/>
  <c r="I55" i="3"/>
  <c r="E55" i="3" s="1"/>
  <c r="H55" i="3"/>
  <c r="C55" i="3" s="1"/>
  <c r="G55" i="3"/>
  <c r="D55" i="3"/>
  <c r="J54" i="3"/>
  <c r="F54" i="3" s="1"/>
  <c r="I54" i="3"/>
  <c r="E54" i="3" s="1"/>
  <c r="H54" i="3"/>
  <c r="C54" i="3" s="1"/>
  <c r="G54" i="3"/>
  <c r="D54" i="3"/>
  <c r="J53" i="3"/>
  <c r="F53" i="3" s="1"/>
  <c r="I53" i="3"/>
  <c r="E53" i="3" s="1"/>
  <c r="H53" i="3"/>
  <c r="C53" i="3" s="1"/>
  <c r="G53" i="3"/>
  <c r="D53" i="3"/>
  <c r="J52" i="3"/>
  <c r="F52" i="3" s="1"/>
  <c r="I52" i="3"/>
  <c r="E52" i="3" s="1"/>
  <c r="H52" i="3"/>
  <c r="C52" i="3" s="1"/>
  <c r="G52" i="3"/>
  <c r="D52" i="3"/>
  <c r="J51" i="3"/>
  <c r="F51" i="3" s="1"/>
  <c r="I51" i="3"/>
  <c r="E51" i="3" s="1"/>
  <c r="H51" i="3"/>
  <c r="C51" i="3" s="1"/>
  <c r="G51" i="3"/>
  <c r="D51" i="3"/>
  <c r="J50" i="3"/>
  <c r="F50" i="3" s="1"/>
  <c r="I50" i="3"/>
  <c r="E50" i="3" s="1"/>
  <c r="H50" i="3"/>
  <c r="C50" i="3" s="1"/>
  <c r="G50" i="3"/>
  <c r="D50" i="3"/>
  <c r="J49" i="3"/>
  <c r="F49" i="3" s="1"/>
  <c r="I49" i="3"/>
  <c r="E49" i="3" s="1"/>
  <c r="H49" i="3"/>
  <c r="C49" i="3" s="1"/>
  <c r="G49" i="3"/>
  <c r="D49" i="3"/>
  <c r="J48" i="3"/>
  <c r="F48" i="3" s="1"/>
  <c r="I48" i="3"/>
  <c r="E48" i="3" s="1"/>
  <c r="H48" i="3"/>
  <c r="C48" i="3" s="1"/>
  <c r="G48" i="3"/>
  <c r="D48" i="3"/>
  <c r="J47" i="3"/>
  <c r="F47" i="3" s="1"/>
  <c r="I47" i="3"/>
  <c r="E47" i="3" s="1"/>
  <c r="H47" i="3"/>
  <c r="C47" i="3" s="1"/>
  <c r="G47" i="3"/>
  <c r="D47" i="3"/>
  <c r="J46" i="3"/>
  <c r="F46" i="3" s="1"/>
  <c r="I46" i="3"/>
  <c r="E46" i="3" s="1"/>
  <c r="H46" i="3"/>
  <c r="C46" i="3" s="1"/>
  <c r="G46" i="3"/>
  <c r="D46" i="3"/>
  <c r="J45" i="3"/>
  <c r="F45" i="3" s="1"/>
  <c r="I45" i="3"/>
  <c r="E45" i="3" s="1"/>
  <c r="H45" i="3"/>
  <c r="C45" i="3" s="1"/>
  <c r="G45" i="3"/>
  <c r="D45" i="3"/>
  <c r="J44" i="3"/>
  <c r="F44" i="3" s="1"/>
  <c r="I44" i="3"/>
  <c r="E44" i="3" s="1"/>
  <c r="H44" i="3"/>
  <c r="C44" i="3" s="1"/>
  <c r="G44" i="3"/>
  <c r="D44" i="3"/>
  <c r="J43" i="3"/>
  <c r="F43" i="3" s="1"/>
  <c r="I43" i="3"/>
  <c r="E43" i="3" s="1"/>
  <c r="H43" i="3"/>
  <c r="C43" i="3" s="1"/>
  <c r="G43" i="3"/>
  <c r="D43" i="3"/>
  <c r="J42" i="3"/>
  <c r="F42" i="3" s="1"/>
  <c r="I42" i="3"/>
  <c r="E42" i="3" s="1"/>
  <c r="H42" i="3"/>
  <c r="C42" i="3" s="1"/>
  <c r="G42" i="3"/>
  <c r="D42" i="3"/>
  <c r="J41" i="3"/>
  <c r="F41" i="3" s="1"/>
  <c r="I41" i="3"/>
  <c r="E41" i="3" s="1"/>
  <c r="H41" i="3"/>
  <c r="C41" i="3" s="1"/>
  <c r="G41" i="3"/>
  <c r="D41" i="3"/>
  <c r="J40" i="3"/>
  <c r="F40" i="3" s="1"/>
  <c r="I40" i="3"/>
  <c r="E40" i="3" s="1"/>
  <c r="H40" i="3"/>
  <c r="C40" i="3" s="1"/>
  <c r="G40" i="3"/>
  <c r="D40" i="3"/>
  <c r="J39" i="3"/>
  <c r="F39" i="3" s="1"/>
  <c r="I39" i="3"/>
  <c r="E39" i="3" s="1"/>
  <c r="H39" i="3"/>
  <c r="C39" i="3" s="1"/>
  <c r="G39" i="3"/>
  <c r="D39" i="3"/>
  <c r="J38" i="3"/>
  <c r="F38" i="3" s="1"/>
  <c r="I38" i="3"/>
  <c r="E38" i="3" s="1"/>
  <c r="H38" i="3"/>
  <c r="C38" i="3" s="1"/>
  <c r="G38" i="3"/>
  <c r="D38" i="3"/>
  <c r="J37" i="3"/>
  <c r="F37" i="3" s="1"/>
  <c r="I37" i="3"/>
  <c r="E37" i="3" s="1"/>
  <c r="H37" i="3"/>
  <c r="C37" i="3" s="1"/>
  <c r="G37" i="3"/>
  <c r="D37" i="3"/>
  <c r="J36" i="3"/>
  <c r="F36" i="3" s="1"/>
  <c r="I36" i="3"/>
  <c r="E36" i="3" s="1"/>
  <c r="H36" i="3"/>
  <c r="C36" i="3" s="1"/>
  <c r="G36" i="3"/>
  <c r="D36" i="3"/>
  <c r="J35" i="3"/>
  <c r="F35" i="3" s="1"/>
  <c r="I35" i="3"/>
  <c r="E35" i="3" s="1"/>
  <c r="H35" i="3"/>
  <c r="C35" i="3" s="1"/>
  <c r="G35" i="3"/>
  <c r="D35" i="3"/>
  <c r="J34" i="3"/>
  <c r="F34" i="3" s="1"/>
  <c r="I34" i="3"/>
  <c r="E34" i="3" s="1"/>
  <c r="H34" i="3"/>
  <c r="C34" i="3" s="1"/>
  <c r="G34" i="3"/>
  <c r="D34" i="3"/>
  <c r="J33" i="3"/>
  <c r="F33" i="3" s="1"/>
  <c r="I33" i="3"/>
  <c r="E33" i="3" s="1"/>
  <c r="H33" i="3"/>
  <c r="C33" i="3" s="1"/>
  <c r="G33" i="3"/>
  <c r="D33" i="3"/>
  <c r="J32" i="3"/>
  <c r="F32" i="3" s="1"/>
  <c r="I32" i="3"/>
  <c r="E32" i="3" s="1"/>
  <c r="H32" i="3"/>
  <c r="C32" i="3" s="1"/>
  <c r="G32" i="3"/>
  <c r="D32" i="3"/>
  <c r="J31" i="3"/>
  <c r="F31" i="3" s="1"/>
  <c r="I31" i="3"/>
  <c r="E31" i="3" s="1"/>
  <c r="H31" i="3"/>
  <c r="C31" i="3" s="1"/>
  <c r="G31" i="3"/>
  <c r="D31" i="3"/>
  <c r="J30" i="3"/>
  <c r="F30" i="3" s="1"/>
  <c r="I30" i="3"/>
  <c r="E30" i="3" s="1"/>
  <c r="H30" i="3"/>
  <c r="C30" i="3" s="1"/>
  <c r="G30" i="3"/>
  <c r="D30" i="3"/>
  <c r="J29" i="3"/>
  <c r="F29" i="3" s="1"/>
  <c r="I29" i="3"/>
  <c r="E29" i="3" s="1"/>
  <c r="H29" i="3"/>
  <c r="C29" i="3" s="1"/>
  <c r="G29" i="3"/>
  <c r="D29" i="3"/>
  <c r="J28" i="3"/>
  <c r="F28" i="3" s="1"/>
  <c r="I28" i="3"/>
  <c r="E28" i="3" s="1"/>
  <c r="H28" i="3"/>
  <c r="C28" i="3" s="1"/>
  <c r="G28" i="3"/>
  <c r="D28" i="3"/>
  <c r="J27" i="3"/>
  <c r="F27" i="3" s="1"/>
  <c r="I27" i="3"/>
  <c r="E27" i="3" s="1"/>
  <c r="H27" i="3"/>
  <c r="C27" i="3" s="1"/>
  <c r="G27" i="3"/>
  <c r="D27" i="3"/>
  <c r="J26" i="3"/>
  <c r="F26" i="3" s="1"/>
  <c r="I26" i="3"/>
  <c r="E26" i="3" s="1"/>
  <c r="H26" i="3"/>
  <c r="C26" i="3" s="1"/>
  <c r="G26" i="3"/>
  <c r="D26" i="3"/>
  <c r="J25" i="3"/>
  <c r="F25" i="3" s="1"/>
  <c r="I25" i="3"/>
  <c r="E25" i="3" s="1"/>
  <c r="H25" i="3"/>
  <c r="C25" i="3" s="1"/>
  <c r="G25" i="3"/>
  <c r="D25" i="3"/>
  <c r="J24" i="3"/>
  <c r="F24" i="3" s="1"/>
  <c r="I24" i="3"/>
  <c r="E24" i="3" s="1"/>
  <c r="H24" i="3"/>
  <c r="C24" i="3" s="1"/>
  <c r="G24" i="3"/>
  <c r="D24" i="3"/>
  <c r="J23" i="3"/>
  <c r="F23" i="3" s="1"/>
  <c r="I23" i="3"/>
  <c r="E23" i="3" s="1"/>
  <c r="H23" i="3"/>
  <c r="C23" i="3" s="1"/>
  <c r="G23" i="3"/>
  <c r="D23" i="3"/>
  <c r="J22" i="3"/>
  <c r="F22" i="3" s="1"/>
  <c r="I22" i="3"/>
  <c r="E22" i="3" s="1"/>
  <c r="H22" i="3"/>
  <c r="C22" i="3" s="1"/>
  <c r="G22" i="3"/>
  <c r="D22" i="3"/>
  <c r="J21" i="3"/>
  <c r="F21" i="3" s="1"/>
  <c r="I21" i="3"/>
  <c r="E21" i="3" s="1"/>
  <c r="H21" i="3"/>
  <c r="C21" i="3" s="1"/>
  <c r="G21" i="3"/>
  <c r="D21" i="3"/>
  <c r="J20" i="3"/>
  <c r="F20" i="3" s="1"/>
  <c r="I20" i="3"/>
  <c r="E20" i="3" s="1"/>
  <c r="H20" i="3"/>
  <c r="C20" i="3" s="1"/>
  <c r="G20" i="3"/>
  <c r="D20" i="3"/>
  <c r="J19" i="3"/>
  <c r="F19" i="3" s="1"/>
  <c r="I19" i="3"/>
  <c r="E19" i="3" s="1"/>
  <c r="H19" i="3"/>
  <c r="C19" i="3" s="1"/>
  <c r="G19" i="3"/>
  <c r="D19" i="3"/>
  <c r="J18" i="3"/>
  <c r="F18" i="3" s="1"/>
  <c r="I18" i="3"/>
  <c r="E18" i="3" s="1"/>
  <c r="H18" i="3"/>
  <c r="C18" i="3" s="1"/>
  <c r="G18" i="3"/>
  <c r="D18" i="3"/>
  <c r="J17" i="3"/>
  <c r="F17" i="3" s="1"/>
  <c r="I17" i="3"/>
  <c r="E17" i="3" s="1"/>
  <c r="H17" i="3"/>
  <c r="C17" i="3" s="1"/>
  <c r="G17" i="3"/>
  <c r="D17" i="3"/>
  <c r="J16" i="3"/>
  <c r="F16" i="3" s="1"/>
  <c r="I16" i="3"/>
  <c r="E16" i="3" s="1"/>
  <c r="H16" i="3"/>
  <c r="C16" i="3" s="1"/>
  <c r="G16" i="3"/>
  <c r="D16" i="3"/>
  <c r="J15" i="3"/>
  <c r="F15" i="3" s="1"/>
  <c r="I15" i="3"/>
  <c r="E15" i="3" s="1"/>
  <c r="H15" i="3"/>
  <c r="C15" i="3" s="1"/>
  <c r="G15" i="3"/>
  <c r="D15" i="3"/>
  <c r="J14" i="3"/>
  <c r="F14" i="3" s="1"/>
  <c r="I14" i="3"/>
  <c r="E14" i="3" s="1"/>
  <c r="H14" i="3"/>
  <c r="C14" i="3" s="1"/>
  <c r="G14" i="3"/>
  <c r="D14" i="3"/>
  <c r="J13" i="3"/>
  <c r="F13" i="3" s="1"/>
  <c r="I13" i="3"/>
  <c r="E13" i="3" s="1"/>
  <c r="H13" i="3"/>
  <c r="C13" i="3" s="1"/>
  <c r="G13" i="3"/>
  <c r="D13" i="3"/>
  <c r="J12" i="3"/>
  <c r="F12" i="3" s="1"/>
  <c r="I12" i="3"/>
  <c r="E12" i="3" s="1"/>
  <c r="H12" i="3"/>
  <c r="C12" i="3" s="1"/>
  <c r="G12" i="3"/>
  <c r="D12" i="3"/>
  <c r="J11" i="3"/>
  <c r="F11" i="3" s="1"/>
  <c r="I11" i="3"/>
  <c r="E11" i="3" s="1"/>
  <c r="H11" i="3"/>
  <c r="C11" i="3" s="1"/>
  <c r="G11" i="3"/>
  <c r="D11" i="3"/>
  <c r="J10" i="3"/>
  <c r="F10" i="3" s="1"/>
  <c r="I10" i="3"/>
  <c r="E10" i="3" s="1"/>
  <c r="H10" i="3"/>
  <c r="C10" i="3" s="1"/>
  <c r="G10" i="3"/>
  <c r="D10" i="3"/>
  <c r="J9" i="3"/>
  <c r="F9" i="3" s="1"/>
  <c r="I9" i="3"/>
  <c r="E9" i="3" s="1"/>
  <c r="H9" i="3"/>
  <c r="C9" i="3" s="1"/>
  <c r="G9" i="3"/>
  <c r="D9" i="3"/>
  <c r="J8" i="3"/>
  <c r="F8" i="3" s="1"/>
  <c r="I8" i="3"/>
  <c r="E8" i="3" s="1"/>
  <c r="H8" i="3"/>
  <c r="C8" i="3" s="1"/>
  <c r="G8" i="3"/>
  <c r="D8" i="3"/>
  <c r="J7" i="3"/>
  <c r="F7" i="3" s="1"/>
  <c r="I7" i="3"/>
  <c r="E7" i="3" s="1"/>
  <c r="H7" i="3"/>
  <c r="C7" i="3" s="1"/>
  <c r="G7" i="3"/>
  <c r="D7" i="3"/>
  <c r="J6" i="3"/>
  <c r="F6" i="3" s="1"/>
  <c r="I6" i="3"/>
  <c r="E6" i="3" s="1"/>
  <c r="H6" i="3"/>
  <c r="C6" i="3" s="1"/>
  <c r="G6" i="3"/>
  <c r="D6" i="3"/>
  <c r="J5" i="3"/>
  <c r="F5" i="3" s="1"/>
  <c r="I5" i="3"/>
  <c r="E5" i="3" s="1"/>
  <c r="H5" i="3"/>
  <c r="C5" i="3" s="1"/>
  <c r="G5" i="3"/>
  <c r="D5" i="3"/>
  <c r="J4" i="3"/>
  <c r="F4" i="3" s="1"/>
  <c r="I4" i="3"/>
  <c r="E4" i="3" s="1"/>
  <c r="H4" i="3"/>
  <c r="C4" i="3" s="1"/>
  <c r="G4" i="3"/>
  <c r="D4" i="3"/>
  <c r="J3" i="3"/>
  <c r="F3" i="3" s="1"/>
  <c r="I3" i="3"/>
  <c r="E3" i="3" s="1"/>
  <c r="H3" i="3"/>
  <c r="C3" i="3" s="1"/>
  <c r="G3" i="3"/>
  <c r="D3" i="3"/>
  <c r="J2" i="3"/>
  <c r="F2" i="3" s="1"/>
  <c r="I2" i="3"/>
  <c r="E2" i="3" s="1"/>
  <c r="H2" i="3"/>
  <c r="C2" i="3" s="1"/>
  <c r="G2" i="3"/>
  <c r="D2" i="3"/>
  <c r="F30" i="4" l="1"/>
  <c r="G7" i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F7" i="1"/>
  <c r="E7" i="1"/>
  <c r="I6" i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G6" i="1"/>
  <c r="H6" i="1"/>
  <c r="F6" i="1"/>
  <c r="E6" i="1"/>
</calcChain>
</file>

<file path=xl/sharedStrings.xml><?xml version="1.0" encoding="utf-8"?>
<sst xmlns="http://schemas.openxmlformats.org/spreadsheetml/2006/main" count="706" uniqueCount="162">
  <si>
    <t>Gender</t>
  </si>
  <si>
    <t>Age</t>
  </si>
  <si>
    <t>M</t>
  </si>
  <si>
    <t>F</t>
  </si>
  <si>
    <t>Heath History</t>
  </si>
  <si>
    <t>Excellent</t>
  </si>
  <si>
    <t>Above Average</t>
  </si>
  <si>
    <t>Average</t>
  </si>
  <si>
    <t>Below Average</t>
  </si>
  <si>
    <t>Poor</t>
  </si>
  <si>
    <t>Family Health History</t>
  </si>
  <si>
    <t>Smoking</t>
  </si>
  <si>
    <t>Yes</t>
  </si>
  <si>
    <t>No</t>
  </si>
  <si>
    <t>Factor</t>
  </si>
  <si>
    <t>Pr</t>
  </si>
  <si>
    <t>Policy Holder Name</t>
  </si>
  <si>
    <t>Health History</t>
  </si>
  <si>
    <t>Family History</t>
  </si>
  <si>
    <t>Smoking Habit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</si>
  <si>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</si>
  <si>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</si>
  <si>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</si>
  <si>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</si>
  <si>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</si>
  <si>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</si>
  <si>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</si>
  <si>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</si>
  <si>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</si>
  <si>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</si>
  <si>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</si>
  <si>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</si>
  <si>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</si>
  <si>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</si>
  <si>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</si>
  <si>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</si>
  <si>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</si>
  <si>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</si>
  <si>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</si>
  <si>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</si>
  <si>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</si>
  <si>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</si>
  <si>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</si>
  <si>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</si>
  <si>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</si>
  <si>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</si>
  <si>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</si>
  <si>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</si>
  <si>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</si>
  <si>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</si>
  <si>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</si>
  <si>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</si>
  <si>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</si>
  <si>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</si>
  <si>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</si>
  <si>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</si>
  <si>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</si>
  <si>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</si>
  <si>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</si>
  <si>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</si>
  <si>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</si>
  <si>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</si>
  <si>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</si>
  <si>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</si>
  <si>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</si>
  <si>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</si>
  <si>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</si>
  <si>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</si>
  <si>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</si>
  <si>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</si>
  <si>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</si>
  <si>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</si>
  <si>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</si>
  <si>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</si>
  <si>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</si>
  <si>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</si>
  <si>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</si>
  <si>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</si>
  <si>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</si>
  <si>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</si>
  <si>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</si>
  <si>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</si>
  <si>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</si>
  <si>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</si>
  <si>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</si>
  <si>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</si>
  <si>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</si>
  <si>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</si>
  <si>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</si>
  <si>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</si>
  <si>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</si>
  <si>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</si>
  <si>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</si>
  <si>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</si>
  <si>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</si>
  <si>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</si>
  <si>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</si>
  <si>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</si>
  <si>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</si>
  <si>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</si>
  <si>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</si>
  <si>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</si>
  <si>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</si>
  <si>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</si>
  <si>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</si>
  <si>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</si>
  <si>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</si>
  <si>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</si>
  <si>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</si>
  <si>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</si>
  <si>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</si>
  <si>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</si>
  <si>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</si>
  <si>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</si>
  <si>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</si>
  <si>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</si>
  <si>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</si>
  <si>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</si>
  <si>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</si>
  <si>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</si>
  <si>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Input Variables</t>
  </si>
  <si>
    <t>Policy Year</t>
  </si>
  <si>
    <t>Probability</t>
  </si>
  <si>
    <t>Current Age</t>
  </si>
  <si>
    <t>Overall Probability of Enacting Life Insurance Policy</t>
  </si>
  <si>
    <t>$1000 to be paid by Insurance Company ($55 for operating expenses, profit, and error each year)</t>
  </si>
  <si>
    <t>PV at Time 0</t>
  </si>
  <si>
    <t>Interest Rate</t>
  </si>
  <si>
    <t>Total Premium</t>
  </si>
  <si>
    <t>Interest Premium = 0.02</t>
  </si>
  <si>
    <t>Interest Premium = 0.04</t>
  </si>
  <si>
    <t>Interest Premium = 0.06</t>
  </si>
  <si>
    <t>Interest Premium = 0.08</t>
  </si>
  <si>
    <t>Example Table</t>
  </si>
  <si>
    <t>Vehicle</t>
  </si>
  <si>
    <t>Miles Driven</t>
  </si>
  <si>
    <t>Location</t>
  </si>
  <si>
    <t>Car</t>
  </si>
  <si>
    <t>Jeep</t>
  </si>
  <si>
    <t>Truck</t>
  </si>
  <si>
    <t>Van</t>
  </si>
  <si>
    <t>Bus</t>
  </si>
  <si>
    <t>Florida</t>
  </si>
  <si>
    <t>New York</t>
  </si>
  <si>
    <t>Ontario</t>
  </si>
  <si>
    <t>Ohio</t>
  </si>
  <si>
    <t>Nevada</t>
  </si>
  <si>
    <t>Extract 66,352 from the table using VLOOKUP, INDEX, and MATCH</t>
  </si>
  <si>
    <t>Match Row</t>
  </si>
  <si>
    <t>Match Column</t>
  </si>
  <si>
    <t>VLOOKUP</t>
  </si>
  <si>
    <t>VLOOKUP MATCH</t>
  </si>
  <si>
    <t>INDEX MATCH</t>
  </si>
  <si>
    <t>Index needs Location</t>
  </si>
  <si>
    <t>Match finds the location</t>
  </si>
  <si>
    <t>Match is nested inside Index</t>
  </si>
  <si>
    <t>Row Labels</t>
  </si>
  <si>
    <t>Grand Total</t>
  </si>
  <si>
    <t>Average of Interest Premium = 0.02</t>
  </si>
  <si>
    <t>Average of Interest Premium = 0.04</t>
  </si>
  <si>
    <t>Average of Interest Premium = 0.06</t>
  </si>
  <si>
    <t>Average of Interest Premium = 0.08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</si>
</sst>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0" borderId="1" xfId="0" applyBorder="1"/>
    <xf numFmtId="0" fontId="1" fillId="0" borderId="1" xfId="0" applyFont="1" applyBorder="1"/>
    <xf numFmtId="9" fontId="0" fillId="0" borderId="1" xfId="0" applyNumberFormat="1" applyBorder="1"/>
    <xf numFmtId="10" fontId="0" fillId="0" borderId="1" xfId="0" applyNumberFormat="1" applyBorder="1"/>
    <xf numFmtId="49" fontId="0" fillId="0" borderId="0" xfId="0" applyNumberFormat="1"/>
    <xf numFmtId="0" fontId="1" fillId="3" borderId="1" xfId="0" applyFont="1" applyFill="1" applyBorder="1"/>
    <xf numFmtId="0" fontId="0" fillId="4" borderId="1" xfId="0" applyFill="1" applyBorder="1"/>
    <xf numFmtId="0" fontId="1" fillId="4" borderId="1" xfId="0" applyFont="1" applyFill="1" applyBorder="1"/>
    <xf numFmtId="0" fontId="1" fillId="0" borderId="0" xfId="0" applyFont="1" applyAlignment="1"/>
    <xf numFmtId="0" fontId="1" fillId="0" borderId="2" xfId="0" applyFont="1" applyBorder="1" applyAlignment="1"/>
    <xf numFmtId="0" fontId="0" fillId="0" borderId="1" xfId="0" applyBorder="1" applyAlignment="1">
      <alignment horizontal="center"/>
    </xf>
    <xf numFmtId="3" fontId="0" fillId="0" borderId="1" xfId="0" applyNumberFormat="1" applyBorder="1"/>
    <xf numFmtId="0" fontId="0" fillId="5" borderId="0" xfId="0" applyFill="1" applyBorder="1"/>
    <xf numFmtId="0" fontId="1" fillId="5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[Excel_Practice.xlsm]Policy holder Premiums!PivotTable1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38842869641294836"/>
          <c:y val="0.13323855351414407"/>
          <c:w val="0.33758005249343831"/>
          <c:h val="0.75936205890930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'Policy holder Premiums'!$C$3</c:f>
              <c:strCache>
                <c:ptCount val="1"/>
                <c:pt idx="0">
                  <c:v>Average of Interest Premium = 0.02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Premiums'!$C$4:$C$9</c:f>
              <c:numCache>
                <c:formatCode>General</c:formatCode>
                <c:ptCount val="5"/>
                <c:pt idx="0">
                  <c:v>699.61017853353815</c:v>
                </c:pt>
                <c:pt idx="1">
                  <c:v>884.97775979352662</c:v>
                </c:pt>
                <c:pt idx="2">
                  <c:v>1323.1161768985107</c:v>
                </c:pt>
                <c:pt idx="3">
                  <c:v>579.5545095731369</c:v>
                </c:pt>
                <c:pt idx="4">
                  <c:v>1176.3992651699937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4-4DB4-8B42-FF8CAE7AF6DF}"/>
            </c:ext>
          </c:extLst>
        </c:ser>
        <c:ser>
          <c:idx val="1"/>
          <c:order val="1"/>
          <c:tx>
            <c:strRef>
              <c:f>'Policy holder Premiums'!$D$3</c:f>
              <c:strCache>
                <c:ptCount val="1"/>
                <c:pt idx="0">
                  <c:v>Average of Interest Premium = 0.04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Premiums'!$D$4:$D$9</c:f>
              <c:numCache>
                <c:formatCode>General</c:formatCode>
                <c:ptCount val="5"/>
                <c:pt idx="0">
                  <c:v>622.62222792127886</c:v>
                </c:pt>
                <c:pt idx="1">
                  <c:v>785.79704378507142</c:v>
                </c:pt>
                <c:pt idx="2">
                  <c:v>1148.9172290556162</c:v>
                </c:pt>
                <c:pt idx="3">
                  <c:v>517.87134664418659</c:v>
                </c:pt>
                <c:pt idx="4">
                  <c:v>1034.1303139217021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34-4DB4-8B42-FF8CAE7AF6DF}"/>
            </c:ext>
          </c:extLst>
        </c:ser>
        <c:ser>
          <c:idx val="2"/>
          <c:order val="2"/>
          <c:tx>
            <c:strRef>
              <c:f>'Policy holder Premiums'!$E$3</c:f>
              <c:strCache>
                <c:ptCount val="1"/>
                <c:pt idx="0">
                  <c:v>Average of Interest Premium = 0.06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Premiums'!$E$4:$E$9</c:f>
              <c:numCache>
                <c:formatCode>General</c:formatCode>
                <c:ptCount val="5"/>
                <c:pt idx="0">
                  <c:v>557.36776158269743</c:v>
                </c:pt>
                <c:pt idx="1">
                  <c:v>701.75842386955651</c:v>
                </c:pt>
                <c:pt idx="2">
                  <c:v>1004.013364454075</c:v>
                </c:pt>
                <c:pt idx="3">
                  <c:v>465.42306789843576</c:v>
                </c:pt>
                <c:pt idx="4">
                  <c:v>914.4678363710334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4-4DB4-8B42-FF8CAE7AF6DF}"/>
            </c:ext>
          </c:extLst>
        </c:ser>
        <c:ser>
          <c:idx val="3"/>
          <c:order val="3"/>
          <c:tx>
            <c:strRef>
              <c:f>'Policy holder Premiums'!$F$3</c:f>
              <c:strCache>
                <c:ptCount val="1"/>
                <c:pt idx="0">
                  <c:v>Average of Interest Premium = 0.08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'Policy holder Premiums'!$B$4:$B$9</c:f>
              <c:strCache>
                <c:ptCount val="5"/>
                <c:pt idx="0">
                  <c:v>Above Average</c:v>
                </c:pt>
                <c:pt idx="1">
                  <c:v>Average</c:v>
                </c:pt>
                <c:pt idx="2">
                  <c:v>Below Average</c:v>
                </c:pt>
                <c:pt idx="3">
                  <c:v>Excellent</c:v>
                </c:pt>
                <c:pt idx="4">
                  <c:v>Poor</c:v>
                </c:pt>
              </c:strCache>
            </c:strRef>
          </c:cat>
          <c:val>
            <c:numRef>
              <c:f>'Policy holder Premiums'!$F$4:$F$9</c:f>
              <c:numCache>
                <c:formatCode>General</c:formatCode>
                <c:ptCount val="5"/>
                <c:pt idx="0">
                  <c:v>501.7363849390307</c:v>
                </c:pt>
                <c:pt idx="1">
                  <c:v>630.14512734295954</c:v>
                </c:pt>
                <c:pt idx="2">
                  <c:v>882.80403373551724</c:v>
                </c:pt>
                <c:pt idx="3">
                  <c:v>420.56814250407831</c:v>
                </c:pt>
                <c:pt idx="4">
                  <c:v>813.25275300840462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34-4DB4-8B42-FF8CAE7AF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7583376"/>
        <c:axId val="1527585456"/>
      </c:barChart>
      <c:catAx>
        <c:axId val="1527583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85456"/>
        <c:crosses val="autoZero"/>
        <c:auto val="1"/>
        <c:lblAlgn val="ctr"/>
        <c:lblOffset val="100"/>
        <c:noMultiLvlLbl val="0"/>
      </c:catAx>
      <c:valAx>
        <c:axId val="152758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5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</xdr:colOff>
      <xdr:row>2</xdr:row>
      <xdr:rowOff>167640</xdr:rowOff>
    </xdr:from>
    <xdr:to>
      <xdr:col>14</xdr:col>
      <xdr:colOff>571500</xdr:colOff>
      <xdr:row>8</xdr:row>
      <xdr:rowOff>167640</xdr:rowOff>
    </xdr:to>
    <xdr:sp macro="[0]!Premium_Calc" textlink="">
      <xdr:nvSpPr>
        <xdr:cNvPr id="2" name="Rounded Rectangle 1"/>
        <xdr:cNvSpPr/>
      </xdr:nvSpPr>
      <xdr:spPr>
        <a:xfrm>
          <a:off x="11849100" y="533400"/>
          <a:ext cx="2026920" cy="1097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600">
            <a:solidFill>
              <a:schemeClr val="bg1"/>
            </a:solidFill>
            <a:latin typeface="+mn-lt"/>
          </a:endParaRPr>
        </a:p>
        <a:p>
          <a:pPr algn="ctr"/>
          <a:r>
            <a:rPr lang="en-IN" sz="1600">
              <a:solidFill>
                <a:schemeClr val="bg1"/>
              </a:solidFill>
              <a:latin typeface="+mn-lt"/>
            </a:rPr>
            <a:t>Calculate Premiums</a:t>
          </a:r>
        </a:p>
      </xdr:txBody>
    </xdr:sp>
    <xdr:clientData/>
  </xdr:twoCellAnchor>
  <xdr:twoCellAnchor>
    <xdr:from>
      <xdr:col>12</xdr:col>
      <xdr:colOff>60960</xdr:colOff>
      <xdr:row>10</xdr:row>
      <xdr:rowOff>60960</xdr:rowOff>
    </xdr:from>
    <xdr:to>
      <xdr:col>14</xdr:col>
      <xdr:colOff>563880</xdr:colOff>
      <xdr:row>16</xdr:row>
      <xdr:rowOff>114300</xdr:rowOff>
    </xdr:to>
    <xdr:sp macro="[0]!Clear_Values.Clear_Values" textlink="">
      <xdr:nvSpPr>
        <xdr:cNvPr id="3" name="Rounded Rectangle 2"/>
        <xdr:cNvSpPr/>
      </xdr:nvSpPr>
      <xdr:spPr>
        <a:xfrm>
          <a:off x="11849100" y="1889760"/>
          <a:ext cx="2019300" cy="115062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800"/>
        </a:p>
        <a:p>
          <a:pPr algn="ctr"/>
          <a:r>
            <a:rPr lang="en-IN" sz="1800"/>
            <a:t>Clear Premiums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1927860</xdr:colOff>
      <xdr:row>10</xdr:row>
      <xdr:rowOff>148590</xdr:rowOff>
    </xdr:from>
    <xdr:to>
      <xdr:col>5</xdr:col>
      <xdr:colOff>99060</xdr:colOff>
      <xdr:row>25</xdr:row>
      <xdr:rowOff>148590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ath G" refreshedDate="45391.842511921299" createdVersion="6" refreshedVersion="6" minRefreshableVersion="3" recordCount="100">
  <cacheSource type="worksheet">
    <worksheetSource ref="B1:K101" sheet="Policy Data"/>
  </cacheSource>
  <cacheFields count="10">
    <cacheField name="Policy Holder Name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25" maxValue="45"/>
    </cacheField>
    <cacheField name="Health History" numFmtId="0">
      <sharedItems/>
    </cacheField>
    <cacheField name="Family History" numFmtId="0">
      <sharedItems count="5">
        <s v="Excellent"/>
        <s v="Poor"/>
        <s v="Average"/>
        <s v="Above Average"/>
        <s v="Below Average"/>
      </sharedItems>
    </cacheField>
    <cacheField name="Smoking Habit" numFmtId="0">
      <sharedItems/>
    </cacheField>
    <cacheField name="Interest Premium = 0.02" numFmtId="0">
      <sharedItems containsSemiMixedTypes="0" containsString="0" containsNumber="1" minValue="539.22795541368225" maxValue="3938.9574145247625"/>
    </cacheField>
    <cacheField name="Interest Premium = 0.04" numFmtId="0">
      <sharedItems containsSemiMixedTypes="0" containsString="0" containsNumber="1" minValue="482.67522774687848" maxValue="3442.09146758305"/>
    </cacheField>
    <cacheField name="Interest Premium = 0.06" numFmtId="0">
      <sharedItems containsSemiMixedTypes="0" containsString="0" containsNumber="1" minValue="434.54022573119732" maxValue="3023.302174511573"/>
    </cacheField>
    <cacheField name="Interest Premium = 0.08" numFmtId="0">
      <sharedItems containsSemiMixedTypes="0" containsString="0" containsNumber="1" minValue="393.33093947870066" maxValue="2668.4701046909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s v="Policyholder #1"/>
    <s v="F"/>
    <n v="41"/>
    <s v="Above Average"/>
    <x v="0"/>
    <s v="Yes"/>
    <n v="591.85708517953378"/>
    <n v="527.72221917439447"/>
    <n v="473.28230770995367"/>
    <n v="426.80513620813269"/>
  </r>
  <r>
    <s v="Policyholder #2"/>
    <s v="F"/>
    <n v="39"/>
    <s v="Excellent"/>
    <x v="1"/>
    <s v="Yes"/>
    <n v="768.89494434769961"/>
    <n v="676.97477309196279"/>
    <n v="599.79845327515511"/>
    <n v="534.62829086733313"/>
  </r>
  <r>
    <s v="Policyholder #3"/>
    <s v="M"/>
    <n v="42"/>
    <s v="Above Average"/>
    <x v="0"/>
    <s v="No"/>
    <n v="577.61428883455983"/>
    <n v="515.72722936050297"/>
    <n v="463.13131737913579"/>
    <n v="418.17333479230791"/>
  </r>
  <r>
    <s v="Policyholder #4"/>
    <s v="M"/>
    <n v="45"/>
    <s v="Excellent"/>
    <x v="2"/>
    <s v="Yes"/>
    <n v="945.15812977424446"/>
    <n v="842.38776097176458"/>
    <n v="755.00892913284451"/>
    <n v="680.28929352559589"/>
  </r>
  <r>
    <s v="Policyholder #5"/>
    <s v="F"/>
    <n v="25"/>
    <s v="Average"/>
    <x v="1"/>
    <s v="Yes"/>
    <n v="1083.5508848692011"/>
    <n v="968.80467019301136"/>
    <n v="871.22194866389555"/>
    <n v="787.75153428620172"/>
  </r>
  <r>
    <s v="Policyholder #6"/>
    <s v="F"/>
    <n v="43"/>
    <s v="Above Average"/>
    <x v="3"/>
    <s v="No"/>
    <n v="817.78465115356153"/>
    <n v="725.13569157852351"/>
    <n v="646.61569674795498"/>
    <n v="579.69731397128896"/>
  </r>
  <r>
    <s v="Policyholder #7"/>
    <s v="M"/>
    <n v="29"/>
    <s v="Above Average"/>
    <x v="1"/>
    <s v="Yes"/>
    <n v="664.30841051522918"/>
    <n v="594.27021507270592"/>
    <n v="534.68485353052836"/>
    <n v="483.69660507899346"/>
  </r>
  <r>
    <s v="Policyholder #8"/>
    <s v="M"/>
    <n v="28"/>
    <s v="Average"/>
    <x v="3"/>
    <s v="No"/>
    <n v="599.37231562762497"/>
    <n v="536.33192124585287"/>
    <n v="482.68855303748404"/>
    <n v="436.77515690725323"/>
  </r>
  <r>
    <s v="Policyholder #9"/>
    <s v="M"/>
    <n v="34"/>
    <s v="Above Average"/>
    <x v="1"/>
    <s v="No"/>
    <n v="629.44222024773239"/>
    <n v="563.18403108094299"/>
    <n v="506.80668803620335"/>
    <n v="458.55685869632322"/>
  </r>
  <r>
    <s v="Policyholder #10"/>
    <s v="M"/>
    <n v="42"/>
    <s v="Above Average"/>
    <x v="0"/>
    <s v="No"/>
    <n v="577.61428883455983"/>
    <n v="515.72722936050297"/>
    <n v="463.13131737913579"/>
    <n v="418.17333479230791"/>
  </r>
  <r>
    <s v="Policyholder #11"/>
    <s v="M"/>
    <n v="27"/>
    <s v="Above Average"/>
    <x v="1"/>
    <s v="No"/>
    <n v="619.44006154539943"/>
    <n v="554.23082388238447"/>
    <n v="498.74630221870723"/>
    <n v="451.26083722436186"/>
  </r>
  <r>
    <s v="Policyholder #12"/>
    <s v="F"/>
    <n v="25"/>
    <s v="Above Average"/>
    <x v="3"/>
    <s v="No"/>
    <n v="568.15468317157706"/>
    <n v="508.50996984530104"/>
    <n v="457.7476275840487"/>
    <n v="414.29281503169915"/>
  </r>
  <r>
    <s v="Policyholder #13"/>
    <s v="F"/>
    <n v="38"/>
    <s v="Above Average"/>
    <x v="4"/>
    <s v="No"/>
    <n v="996.16858318992502"/>
    <n v="868.10035008496641"/>
    <n v="761.56687959936028"/>
    <n v="672.43254559447848"/>
  </r>
  <r>
    <s v="Policyholder #14"/>
    <s v="M"/>
    <n v="27"/>
    <s v="Above Average"/>
    <x v="3"/>
    <s v="No"/>
    <n v="558.28954034187882"/>
    <n v="499.67940932069541"/>
    <n v="449.79765801062786"/>
    <n v="407.09673905935392"/>
  </r>
  <r>
    <s v="Policyholder #15"/>
    <s v="M"/>
    <n v="32"/>
    <s v="Average"/>
    <x v="3"/>
    <s v="Yes"/>
    <n v="636.26202972808778"/>
    <n v="569.26156122720135"/>
    <n v="512.25447341982272"/>
    <n v="463.46726709756916"/>
  </r>
  <r>
    <s v="Policyholder #16"/>
    <s v="F"/>
    <n v="35"/>
    <s v="Average"/>
    <x v="2"/>
    <s v="Yes"/>
    <n v="1022.5955791228907"/>
    <n v="914.47029333102432"/>
    <n v="822.50571198094485"/>
    <n v="743.83024961561387"/>
  </r>
  <r>
    <s v="Policyholder #17"/>
    <s v="M"/>
    <n v="41"/>
    <s v="Excellent"/>
    <x v="0"/>
    <s v="Yes"/>
    <n v="551.01114092191369"/>
    <n v="492.70888694099131"/>
    <n v="443.12178918681457"/>
    <n v="400.70167961861267"/>
  </r>
  <r>
    <s v="Policyholder #18"/>
    <s v="M"/>
    <n v="31"/>
    <s v="Excellent"/>
    <x v="4"/>
    <s v="Yes"/>
    <n v="568.62476477997097"/>
    <n v="508.90537582813488"/>
    <n v="458.0813955435799"/>
    <n v="414.57546479054389"/>
  </r>
  <r>
    <s v="Policyholder #19"/>
    <s v="M"/>
    <n v="31"/>
    <s v="Average"/>
    <x v="2"/>
    <s v="No"/>
    <n v="745.35794750733533"/>
    <n v="666.6016414772663"/>
    <n v="599.61234190263997"/>
    <n v="542.29961937490111"/>
  </r>
  <r>
    <s v="Policyholder #20"/>
    <s v="M"/>
    <n v="40"/>
    <s v="Average"/>
    <x v="1"/>
    <s v="No"/>
    <n v="2632.2084591655707"/>
    <n v="2257.5933539867474"/>
    <n v="1946.9396536917004"/>
    <n v="1688.0478119617383"/>
  </r>
  <r>
    <s v="Policyholder #21"/>
    <s v="F"/>
    <n v="41"/>
    <s v="Average"/>
    <x v="4"/>
    <s v="No"/>
    <n v="2967.256710929074"/>
    <n v="2562.4448891167731"/>
    <n v="2224.6354397385026"/>
    <n v="1941.324991664776"/>
  </r>
  <r>
    <s v="Policyholder #22"/>
    <s v="F"/>
    <n v="29"/>
    <s v="Above Average"/>
    <x v="0"/>
    <s v="Yes"/>
    <n v="546.09847919261688"/>
    <n v="488.81253394829798"/>
    <n v="440.05441067403774"/>
    <n v="398.31248212523633"/>
  </r>
  <r>
    <s v="Policyholder #23"/>
    <s v="M"/>
    <n v="44"/>
    <s v="Excellent"/>
    <x v="3"/>
    <s v="Yes"/>
    <n v="651.71479786578641"/>
    <n v="581.38696502181233"/>
    <n v="521.6013167155769"/>
    <n v="470.48516842390461"/>
  </r>
  <r>
    <s v="Policyholder #24"/>
    <s v="F"/>
    <n v="43"/>
    <s v="Above Average"/>
    <x v="3"/>
    <s v="No"/>
    <n v="817.78465115356153"/>
    <n v="725.13569157852351"/>
    <n v="646.61569674795498"/>
    <n v="579.69731397128896"/>
  </r>
  <r>
    <s v="Policyholder #25"/>
    <s v="M"/>
    <n v="38"/>
    <s v="Average"/>
    <x v="4"/>
    <s v="Yes"/>
    <n v="2419.1038455152134"/>
    <n v="2059.2174561181173"/>
    <n v="1764.0245849317412"/>
    <n v="1520.6244516744191"/>
  </r>
  <r>
    <s v="Policyholder #26"/>
    <s v="F"/>
    <n v="37"/>
    <s v="Above Average"/>
    <x v="1"/>
    <s v="No"/>
    <n v="908.80745125427472"/>
    <n v="794.80029765315817"/>
    <n v="699.91509694516742"/>
    <n v="620.46042913517886"/>
  </r>
  <r>
    <s v="Policyholder #27"/>
    <s v="F"/>
    <n v="43"/>
    <s v="Average"/>
    <x v="1"/>
    <s v="No"/>
    <n v="3938.9574145247625"/>
    <n v="3442.09146758305"/>
    <n v="3023.302174511573"/>
    <n v="2668.4701046909254"/>
  </r>
  <r>
    <s v="Policyholder #28"/>
    <s v="F"/>
    <n v="43"/>
    <s v="Excellent"/>
    <x v="2"/>
    <s v="Yes"/>
    <n v="876.01548629108402"/>
    <n v="775.8251650114438"/>
    <n v="690.95686237787322"/>
    <n v="618.6669555891923"/>
  </r>
  <r>
    <s v="Policyholder #29"/>
    <s v="F"/>
    <n v="27"/>
    <s v="Above Average"/>
    <x v="2"/>
    <s v="No"/>
    <n v="636.82087786947966"/>
    <n v="569.83962431955592"/>
    <n v="512.84299550742605"/>
    <n v="464.05967879817098"/>
  </r>
  <r>
    <s v="Policyholder #30"/>
    <s v="M"/>
    <n v="36"/>
    <s v="Excellent"/>
    <x v="0"/>
    <s v="Yes"/>
    <n v="541.49722269126141"/>
    <n v="484.55030753966508"/>
    <n v="436.09941442397655"/>
    <n v="394.63567650336262"/>
  </r>
  <r>
    <s v="Policyholder #31"/>
    <s v="F"/>
    <n v="25"/>
    <s v="Excellent"/>
    <x v="3"/>
    <s v="Yes"/>
    <n v="549.48090774775005"/>
    <n v="491.83262562980428"/>
    <n v="442.76667392173528"/>
    <n v="400.76170201523172"/>
  </r>
  <r>
    <s v="Policyholder #32"/>
    <s v="M"/>
    <n v="25"/>
    <s v="Above Average"/>
    <x v="4"/>
    <s v="Yes"/>
    <n v="647.69002963203161"/>
    <n v="579.42002251685687"/>
    <n v="521.33774251926661"/>
    <n v="471.63466429398818"/>
  </r>
  <r>
    <s v="Policyholder #33"/>
    <s v="F"/>
    <n v="39"/>
    <s v="Excellent"/>
    <x v="2"/>
    <s v="No"/>
    <n v="660.43062886373923"/>
    <n v="585.19257646584401"/>
    <n v="521.71582218048297"/>
    <n v="467.84983682083021"/>
  </r>
  <r>
    <s v="Policyholder #34"/>
    <s v="F"/>
    <n v="32"/>
    <s v="Excellent"/>
    <x v="3"/>
    <s v="No"/>
    <n v="546.36272408984098"/>
    <n v="489.04906681949279"/>
    <n v="440.26735628761145"/>
    <n v="398.50523416020974"/>
  </r>
  <r>
    <s v="Policyholder #35"/>
    <s v="M"/>
    <n v="32"/>
    <s v="Excellent"/>
    <x v="4"/>
    <s v="Yes"/>
    <n v="569.12389403028317"/>
    <n v="509.35216014039173"/>
    <n v="458.48362614699698"/>
    <n v="414.93955196771606"/>
  </r>
  <r>
    <s v="Policyholder #36"/>
    <s v="M"/>
    <n v="34"/>
    <s v="Above Average"/>
    <x v="1"/>
    <s v="No"/>
    <n v="629.44222024773239"/>
    <n v="563.18403108094299"/>
    <n v="506.80668803620335"/>
    <n v="458.55685869632322"/>
  </r>
  <r>
    <s v="Policyholder #37"/>
    <s v="F"/>
    <n v="25"/>
    <s v="Average"/>
    <x v="3"/>
    <s v="Yes"/>
    <n v="672.72782554500805"/>
    <n v="601.90309745208276"/>
    <n v="541.64096809300315"/>
    <n v="490.06704792391713"/>
  </r>
  <r>
    <s v="Policyholder #38"/>
    <s v="F"/>
    <n v="33"/>
    <s v="Above Average"/>
    <x v="3"/>
    <s v="No"/>
    <n v="570.9732954086337"/>
    <n v="511.03298713804548"/>
    <n v="460.01904746216883"/>
    <n v="416.34883673808361"/>
  </r>
  <r>
    <s v="Policyholder #39"/>
    <s v="F"/>
    <n v="32"/>
    <s v="Average"/>
    <x v="0"/>
    <s v="Yes"/>
    <n v="562.5348872826147"/>
    <n v="503.49476225746582"/>
    <n v="453.24586541413976"/>
    <n v="410.22963406992687"/>
  </r>
  <r>
    <s v="Policyholder #40"/>
    <s v="F"/>
    <n v="27"/>
    <s v="Above Average"/>
    <x v="1"/>
    <s v="Yes"/>
    <n v="724.32136272922662"/>
    <n v="647.98945826405691"/>
    <n v="583.04716843550466"/>
    <n v="527.47273391076101"/>
  </r>
  <r>
    <s v="Policyholder #41"/>
    <s v="M"/>
    <n v="32"/>
    <s v="Average"/>
    <x v="2"/>
    <s v="Yes"/>
    <n v="854.00733469394106"/>
    <n v="763.56232150874575"/>
    <n v="686.64641052087916"/>
    <n v="620.85445130249786"/>
  </r>
  <r>
    <s v="Policyholder #42"/>
    <s v="M"/>
    <n v="30"/>
    <s v="Average"/>
    <x v="0"/>
    <s v="Yes"/>
    <n v="554.0790505714449"/>
    <n v="495.9257103792325"/>
    <n v="446.43160577977909"/>
    <n v="404.06156895077379"/>
  </r>
  <r>
    <s v="Policyholder #43"/>
    <s v="F"/>
    <n v="30"/>
    <s v="Above Average"/>
    <x v="2"/>
    <s v="Yes"/>
    <n v="691.20173023715768"/>
    <n v="618.41929577218002"/>
    <n v="556.4923909280584"/>
    <n v="503.49454043740263"/>
  </r>
  <r>
    <s v="Policyholder #44"/>
    <s v="F"/>
    <n v="43"/>
    <s v="Average"/>
    <x v="0"/>
    <s v="No"/>
    <n v="678.03064682350782"/>
    <n v="603.48095533951482"/>
    <n v="540.19689923615113"/>
    <n v="486.17017408831992"/>
  </r>
  <r>
    <s v="Policyholder #45"/>
    <s v="M"/>
    <n v="44"/>
    <s v="Excellent"/>
    <x v="3"/>
    <s v="No"/>
    <n v="613.90207940834227"/>
    <n v="548.2000497147103"/>
    <n v="492.32691171850047"/>
    <n v="444.53779035105345"/>
  </r>
  <r>
    <s v="Policyholder #46"/>
    <s v="M"/>
    <n v="32"/>
    <s v="Excellent"/>
    <x v="2"/>
    <s v="No"/>
    <n v="555.81723650459207"/>
    <n v="497.4782247898529"/>
    <n v="447.82634110193243"/>
    <n v="405.32144626630384"/>
  </r>
  <r>
    <s v="Policyholder #47"/>
    <s v="M"/>
    <n v="44"/>
    <s v="Above Average"/>
    <x v="3"/>
    <s v="Yes"/>
    <n v="992.02926398278396"/>
    <n v="880.06920278573068"/>
    <n v="785.0709616892658"/>
    <n v="704.01157107956476"/>
  </r>
  <r>
    <s v="Policyholder #48"/>
    <s v="F"/>
    <n v="40"/>
    <s v="Excellent"/>
    <x v="3"/>
    <s v="No"/>
    <n v="583.94508769868332"/>
    <n v="520.67991359778784"/>
    <n v="466.99991851694841"/>
    <n v="421.18846094734113"/>
  </r>
  <r>
    <s v="Policyholder #49"/>
    <s v="M"/>
    <n v="34"/>
    <s v="Average"/>
    <x v="3"/>
    <s v="No"/>
    <n v="605.71419316100241"/>
    <n v="542.00871015452799"/>
    <n v="487.79924776325447"/>
    <n v="441.40120574661807"/>
  </r>
  <r>
    <s v="Policyholder #50"/>
    <s v="F"/>
    <n v="41"/>
    <s v="Above Average"/>
    <x v="0"/>
    <s v="Yes"/>
    <n v="591.85708517953378"/>
    <n v="527.72221917439447"/>
    <n v="473.28230770995367"/>
    <n v="426.80513620813269"/>
  </r>
  <r>
    <s v="Policyholder #51"/>
    <s v="M"/>
    <n v="37"/>
    <s v="Excellent"/>
    <x v="4"/>
    <s v="No"/>
    <n v="614.58205404795081"/>
    <n v="545.77490731283638"/>
    <n v="487.71059813208632"/>
    <n v="438.41465660446914"/>
  </r>
  <r>
    <s v="Policyholder #52"/>
    <s v="F"/>
    <n v="43"/>
    <s v="Above Average"/>
    <x v="2"/>
    <s v="Yes"/>
    <n v="1889.2320176839739"/>
    <n v="1657.8220027442562"/>
    <n v="1462.493144338451"/>
    <n v="1296.7387197407163"/>
  </r>
  <r>
    <s v="Policyholder #53"/>
    <s v="F"/>
    <n v="37"/>
    <s v="Above Average"/>
    <x v="0"/>
    <s v="Yes"/>
    <n v="561.11758275953184"/>
    <n v="501.11914175101219"/>
    <n v="450.18380690919241"/>
    <n v="406.68657224897066"/>
  </r>
  <r>
    <s v="Policyholder #54"/>
    <s v="M"/>
    <n v="40"/>
    <s v="Excellent"/>
    <x v="2"/>
    <s v="No"/>
    <n v="676.91596368863986"/>
    <n v="599.39984218658151"/>
    <n v="533.96459717424068"/>
    <n v="478.41184369150477"/>
  </r>
  <r>
    <s v="Policyholder #55"/>
    <s v="M"/>
    <n v="30"/>
    <s v="Average"/>
    <x v="0"/>
    <s v="No"/>
    <n v="548.81158121211445"/>
    <n v="491.2258799529904"/>
    <n v="442.21377109463515"/>
    <n v="400.25539070229962"/>
  </r>
  <r>
    <s v="Policyholder #56"/>
    <s v="F"/>
    <n v="34"/>
    <s v="Average"/>
    <x v="0"/>
    <s v="No"/>
    <n v="554.80113221585975"/>
    <n v="496.5872917000724"/>
    <n v="447.04053833564058"/>
    <n v="404.62443682836641"/>
  </r>
  <r>
    <s v="Policyholder #57"/>
    <s v="M"/>
    <n v="37"/>
    <s v="Excellent"/>
    <x v="4"/>
    <s v="Yes"/>
    <n v="652.73475982519915"/>
    <n v="577.74925141900155"/>
    <n v="514.6768463359557"/>
    <n v="461.30046780402802"/>
  </r>
  <r>
    <s v="Policyholder #58"/>
    <s v="F"/>
    <n v="41"/>
    <s v="Above Average"/>
    <x v="3"/>
    <s v="Yes"/>
    <n v="859.75929860993324"/>
    <n v="757.20221954383578"/>
    <n v="670.80333763798558"/>
    <n v="597.61564622203991"/>
  </r>
  <r>
    <s v="Policyholder #59"/>
    <s v="M"/>
    <n v="42"/>
    <s v="Above Average"/>
    <x v="2"/>
    <s v="No"/>
    <n v="1298.8044717548325"/>
    <n v="1137.2457507937777"/>
    <n v="1001.2736043835916"/>
    <n v="886.22884555318001"/>
  </r>
  <r>
    <s v="Policyholder #60"/>
    <s v="F"/>
    <n v="36"/>
    <s v="Average"/>
    <x v="3"/>
    <s v="No"/>
    <n v="724.57387965509361"/>
    <n v="640.96640872350906"/>
    <n v="570.75458493540395"/>
    <n v="511.42010870672135"/>
  </r>
  <r>
    <s v="Policyholder #61"/>
    <s v="F"/>
    <n v="38"/>
    <s v="Above Average"/>
    <x v="3"/>
    <s v="Yes"/>
    <n v="720.08667776999391"/>
    <n v="635.19977110904188"/>
    <n v="563.92952823354358"/>
    <n v="503.73592843338702"/>
  </r>
  <r>
    <s v="Policyholder #62"/>
    <s v="F"/>
    <n v="35"/>
    <s v="Above Average"/>
    <x v="3"/>
    <s v="No"/>
    <n v="571.67794846789798"/>
    <n v="511.66374146123167"/>
    <n v="460.58690243169889"/>
    <n v="416.86284216467965"/>
  </r>
  <r>
    <s v="Policyholder #63"/>
    <s v="M"/>
    <n v="35"/>
    <s v="Excellent"/>
    <x v="1"/>
    <s v="No"/>
    <n v="561.42525688567832"/>
    <n v="502.48542949556395"/>
    <n v="452.32311922436475"/>
    <n v="409.38206252352137"/>
  </r>
  <r>
    <s v="Policyholder #64"/>
    <s v="M"/>
    <n v="35"/>
    <s v="Average"/>
    <x v="1"/>
    <s v="No"/>
    <n v="816.06001520014627"/>
    <n v="729.73674384119886"/>
    <n v="656.31831172455634"/>
    <n v="593.51137402339327"/>
  </r>
  <r>
    <s v="Policyholder #65"/>
    <s v="M"/>
    <n v="45"/>
    <s v="Excellent"/>
    <x v="3"/>
    <s v="No"/>
    <n v="622.45901917223807"/>
    <n v="556.42515879800806"/>
    <n v="500.23965222265713"/>
    <n v="452.15605337505701"/>
  </r>
  <r>
    <s v="Policyholder #66"/>
    <s v="M"/>
    <n v="44"/>
    <s v="Excellent"/>
    <x v="4"/>
    <s v="Yes"/>
    <n v="966.82078501115438"/>
    <n v="857.94459258099596"/>
    <n v="765.55469169121454"/>
    <n v="686.71331903099747"/>
  </r>
  <r>
    <s v="Policyholder #67"/>
    <s v="F"/>
    <n v="45"/>
    <s v="Average"/>
    <x v="3"/>
    <s v="Yes"/>
    <n v="2101.1235042119006"/>
    <n v="1867.1830504706006"/>
    <n v="1668.416221137202"/>
    <n v="1498.5727455552919"/>
  </r>
  <r>
    <s v="Policyholder #68"/>
    <s v="F"/>
    <n v="44"/>
    <s v="Above Average"/>
    <x v="0"/>
    <s v="No"/>
    <n v="590.45523308487327"/>
    <n v="527.65232531794084"/>
    <n v="474.2302791442745"/>
    <n v="428.52455186897623"/>
  </r>
  <r>
    <s v="Policyholder #69"/>
    <s v="F"/>
    <n v="36"/>
    <s v="Average"/>
    <x v="4"/>
    <s v="Yes"/>
    <n v="1593.9609864094123"/>
    <n v="1383.6206269641887"/>
    <n v="1209.978173253668"/>
    <n v="1065.7131230464486"/>
  </r>
  <r>
    <s v="Policyholder #70"/>
    <s v="F"/>
    <n v="45"/>
    <s v="Average"/>
    <x v="0"/>
    <s v="No"/>
    <n v="711.92629379550363"/>
    <n v="635.75475591940551"/>
    <n v="570.96011499244241"/>
    <n v="515.52411324423349"/>
  </r>
  <r>
    <s v="Policyholder #71"/>
    <s v="M"/>
    <n v="39"/>
    <s v="Average"/>
    <x v="4"/>
    <s v="No"/>
    <n v="2137.0658444556657"/>
    <n v="1828.8557015746537"/>
    <n v="1574.4355136664219"/>
    <n v="1363.3440243431676"/>
  </r>
  <r>
    <s v="Policyholder #72"/>
    <s v="F"/>
    <n v="41"/>
    <s v="Excellent"/>
    <x v="3"/>
    <s v="No"/>
    <n v="591.85708517953378"/>
    <n v="527.72221917439447"/>
    <n v="473.28230770995367"/>
    <n v="426.80513620813269"/>
  </r>
  <r>
    <s v="Policyholder #73"/>
    <s v="F"/>
    <n v="27"/>
    <s v="Above Average"/>
    <x v="3"/>
    <s v="No"/>
    <n v="568.85933623084122"/>
    <n v="509.14072416848711"/>
    <n v="458.31548255357865"/>
    <n v="414.80682045829531"/>
  </r>
  <r>
    <s v="Policyholder #74"/>
    <s v="F"/>
    <n v="28"/>
    <s v="Above Average"/>
    <x v="3"/>
    <s v="Yes"/>
    <n v="584.67917289398304"/>
    <n v="523.27104244486713"/>
    <n v="471.01006419534184"/>
    <n v="426.27421765471439"/>
  </r>
  <r>
    <s v="Policyholder #75"/>
    <s v="M"/>
    <n v="33"/>
    <s v="Excellent"/>
    <x v="1"/>
    <s v="No"/>
    <n v="560.71081697836883"/>
    <n v="501.84591469566681"/>
    <n v="451.74737738025789"/>
    <n v="408.860918132667"/>
  </r>
  <r>
    <s v="Policyholder #76"/>
    <s v="M"/>
    <n v="35"/>
    <s v="Excellent"/>
    <x v="0"/>
    <s v="Yes"/>
    <n v="539.70361187379649"/>
    <n v="483.09973207006459"/>
    <n v="434.92128773462235"/>
    <n v="393.67489211537543"/>
  </r>
  <r>
    <s v="Policyholder #77"/>
    <s v="F"/>
    <n v="31"/>
    <s v="Excellent"/>
    <x v="1"/>
    <s v="No"/>
    <n v="570.71297568070167"/>
    <n v="510.79912189422532"/>
    <n v="459.80776319775384"/>
    <n v="416.15693960462835"/>
  </r>
  <r>
    <s v="Policyholder #78"/>
    <s v="F"/>
    <n v="32"/>
    <s v="Above Average"/>
    <x v="4"/>
    <s v="No"/>
    <n v="660.46631994996756"/>
    <n v="590.9714735207474"/>
    <n v="531.83794845811622"/>
    <n v="481.22738907876976"/>
  </r>
  <r>
    <s v="Policyholder #79"/>
    <s v="F"/>
    <n v="43"/>
    <s v="Average"/>
    <x v="0"/>
    <s v="No"/>
    <n v="678.03064682350782"/>
    <n v="603.48095533951482"/>
    <n v="540.19689923615113"/>
    <n v="486.17017408831992"/>
  </r>
  <r>
    <s v="Policyholder #80"/>
    <s v="M"/>
    <n v="38"/>
    <s v="Above Average"/>
    <x v="3"/>
    <s v="Yes"/>
    <n v="704.23198393655048"/>
    <n v="621.00779883735424"/>
    <n v="551.15279141911742"/>
    <n v="492.170806334975"/>
  </r>
  <r>
    <s v="Policyholder #81"/>
    <s v="F"/>
    <n v="26"/>
    <s v="Above Average"/>
    <x v="3"/>
    <s v="Yes"/>
    <n v="583.62219330508685"/>
    <n v="522.324910960088"/>
    <n v="470.15828174104684"/>
    <n v="425.50320951482024"/>
  </r>
  <r>
    <s v="Policyholder #82"/>
    <s v="F"/>
    <n v="42"/>
    <s v="Average"/>
    <x v="1"/>
    <s v="No"/>
    <n v="3538.5240087098841"/>
    <n v="3071.712632061739"/>
    <n v="2680.1963764631419"/>
    <n v="2350.1609674069746"/>
  </r>
  <r>
    <s v="Policyholder #83"/>
    <s v="M"/>
    <n v="35"/>
    <s v="Excellent"/>
    <x v="0"/>
    <s v="No"/>
    <n v="539.22795541368225"/>
    <n v="482.67522774687848"/>
    <n v="434.54022573119732"/>
    <n v="393.33093947870066"/>
  </r>
  <r>
    <s v="Policyholder #84"/>
    <s v="M"/>
    <n v="27"/>
    <s v="Above Average"/>
    <x v="4"/>
    <s v="No"/>
    <n v="613.88092325417028"/>
    <n v="549.27160437677651"/>
    <n v="494.29642547251819"/>
    <n v="447.24591920936115"/>
  </r>
  <r>
    <s v="Policyholder #85"/>
    <s v="M"/>
    <n v="38"/>
    <s v="Excellent"/>
    <x v="3"/>
    <s v="No"/>
    <n v="565.93586606730332"/>
    <n v="505.02314905664747"/>
    <n v="453.34055000680894"/>
    <n v="409.23099622695514"/>
  </r>
  <r>
    <s v="Policyholder #86"/>
    <s v="F"/>
    <n v="38"/>
    <s v="Excellent"/>
    <x v="2"/>
    <s v="No"/>
    <n v="635.91536514196616"/>
    <n v="564.19349703101602"/>
    <n v="503.67423818298977"/>
    <n v="452.30403295744452"/>
  </r>
  <r>
    <s v="Policyholder #87"/>
    <s v="F"/>
    <n v="39"/>
    <s v="Average"/>
    <x v="4"/>
    <s v="Yes"/>
    <n v="3116.1469755491321"/>
    <n v="2663.2127952241872"/>
    <n v="2289.5672368676228"/>
    <n v="1979.7659031940802"/>
  </r>
  <r>
    <s v="Policyholder #88"/>
    <s v="M"/>
    <n v="39"/>
    <s v="Average"/>
    <x v="3"/>
    <s v="No"/>
    <n v="961.48554889521597"/>
    <n v="838.39284681425124"/>
    <n v="735.71682841489644"/>
    <n v="649.59329630065554"/>
  </r>
  <r>
    <s v="Policyholder #89"/>
    <s v="F"/>
    <n v="28"/>
    <s v="Above Average"/>
    <x v="0"/>
    <s v="Yes"/>
    <n v="546.01039756020873"/>
    <n v="488.73368965789967"/>
    <n v="439.98342880284645"/>
    <n v="398.24823144691175"/>
  </r>
  <r>
    <s v="Policyholder #90"/>
    <s v="M"/>
    <n v="41"/>
    <s v="Excellent"/>
    <x v="1"/>
    <s v="No"/>
    <n v="744.85850588846881"/>
    <n v="658.36727517948646"/>
    <n v="585.35347611548139"/>
    <n v="523.37217090937145"/>
  </r>
  <r>
    <s v="Policyholder #91"/>
    <s v="M"/>
    <n v="30"/>
    <s v="Average"/>
    <x v="0"/>
    <s v="No"/>
    <n v="548.81158121211445"/>
    <n v="491.2258799529904"/>
    <n v="442.21377109463515"/>
    <n v="400.25539070229962"/>
  </r>
  <r>
    <s v="Policyholder #92"/>
    <s v="F"/>
    <n v="43"/>
    <s v="Excellent"/>
    <x v="1"/>
    <s v="Yes"/>
    <n v="963.3617389973673"/>
    <n v="851.85937516082424"/>
    <n v="757.46861082275063"/>
    <n v="677.12141801604787"/>
  </r>
  <r>
    <s v="Policyholder #93"/>
    <s v="M"/>
    <n v="30"/>
    <s v="Excellent"/>
    <x v="3"/>
    <s v="No"/>
    <n v="543.54411185278423"/>
    <n v="486.5260495267483"/>
    <n v="437.99593640949126"/>
    <n v="396.4492124538254"/>
  </r>
  <r>
    <s v="Policyholder #94"/>
    <s v="M"/>
    <n v="36"/>
    <s v="Average"/>
    <x v="1"/>
    <s v="Yes"/>
    <n v="1478.6860602531988"/>
    <n v="1277.2600433349069"/>
    <n v="1111.6014100160889"/>
    <n v="974.49458522467137"/>
  </r>
  <r>
    <s v="Policyholder #95"/>
    <s v="M"/>
    <n v="27"/>
    <s v="Average"/>
    <x v="2"/>
    <s v="Yes"/>
    <n v="828.46366129561522"/>
    <n v="740.69747729324922"/>
    <n v="666.06166787541497"/>
    <n v="602.22175458838944"/>
  </r>
  <r>
    <s v="Policyholder #96"/>
    <s v="M"/>
    <n v="30"/>
    <s v="Above Average"/>
    <x v="3"/>
    <s v="Yes"/>
    <n v="569.88145864943567"/>
    <n v="510.02520165795875"/>
    <n v="459.08510983521074"/>
    <n v="415.48010369619635"/>
  </r>
  <r>
    <s v="Policyholder #97"/>
    <s v="F"/>
    <n v="45"/>
    <s v="Excellent"/>
    <x v="2"/>
    <s v="Yes"/>
    <n v="957.92996647340726"/>
    <n v="853.82018307951307"/>
    <n v="765.30130045557667"/>
    <n v="689.60564188265016"/>
  </r>
  <r>
    <s v="Policyholder #98"/>
    <s v="M"/>
    <n v="29"/>
    <s v="Excellent"/>
    <x v="1"/>
    <s v="No"/>
    <n v="559.28193716374994"/>
    <n v="500.56688509587275"/>
    <n v="450.59589369204423"/>
    <n v="407.81862935095825"/>
  </r>
  <r>
    <s v="Policyholder #99"/>
    <s v="F"/>
    <n v="37"/>
    <s v="Above Average"/>
    <x v="3"/>
    <s v="No"/>
    <n v="629.64040355776604"/>
    <n v="558.99790970253002"/>
    <n v="499.40092246372762"/>
    <n v="448.8171863798292"/>
  </r>
  <r>
    <s v="Policyholder #100"/>
    <s v="F"/>
    <n v="33"/>
    <s v="Average"/>
    <x v="1"/>
    <s v="Yes"/>
    <n v="1134.9905581954845"/>
    <n v="1014.8497357855979"/>
    <n v="912.67536143958966"/>
    <n v="825.2739304277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3:F9" firstHeaderRow="0" firstDataRow="1" firstDataCol="1"/>
  <pivotFields count="10">
    <pivotField showAll="0"/>
    <pivotField showAll="0"/>
    <pivotField showAll="0"/>
    <pivotField showAll="0"/>
    <pivotField axis="axisRow" showAll="0">
      <items count="6">
        <item x="3"/>
        <item x="2"/>
        <item x="4"/>
        <item x="0"/>
        <item x="1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Interest Premium = 0.02" fld="6" subtotal="average" baseField="4" baseItem="0"/>
    <dataField name="Average of Interest Premium = 0.04" fld="7" subtotal="average" baseField="4" baseItem="0"/>
    <dataField name="Average of Interest Premium = 0.06" fld="8" subtotal="average" baseField="4" baseItem="0"/>
    <dataField name="Average of Interest Premium = 0.08" fld="9" subtotal="average" baseField="4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AH26"/>
  <sheetViews>
    <sheetView zoomScale="90" zoomScaleNormal="90" workbookViewId="0">
      <selection activeCell="D5" sqref="D5:AH7"/>
    </sheetView>
  </sheetViews>
  <sheetFormatPr defaultRowHeight="14.4" x14ac:dyDescent="0.3"/>
  <cols>
    <col min="3" max="3" width="20" bestFit="1" customWidth="1"/>
  </cols>
  <sheetData>
    <row r="4" spans="3:34" x14ac:dyDescent="0.3">
      <c r="D4" s="1" t="s">
        <v>1</v>
      </c>
    </row>
    <row r="5" spans="3:34" x14ac:dyDescent="0.3">
      <c r="C5" s="1" t="s">
        <v>0</v>
      </c>
      <c r="D5" s="2">
        <v>25</v>
      </c>
      <c r="E5" s="2">
        <v>26</v>
      </c>
      <c r="F5" s="2">
        <v>27</v>
      </c>
      <c r="G5" s="2">
        <v>28</v>
      </c>
      <c r="H5" s="2">
        <v>29</v>
      </c>
      <c r="I5" s="2">
        <v>30</v>
      </c>
      <c r="J5" s="2">
        <v>31</v>
      </c>
      <c r="K5" s="2">
        <v>32</v>
      </c>
      <c r="L5" s="2">
        <v>33</v>
      </c>
      <c r="M5" s="2">
        <v>34</v>
      </c>
      <c r="N5" s="2">
        <v>35</v>
      </c>
      <c r="O5" s="2">
        <v>36</v>
      </c>
      <c r="P5" s="2">
        <v>37</v>
      </c>
      <c r="Q5" s="2">
        <v>38</v>
      </c>
      <c r="R5" s="2">
        <v>39</v>
      </c>
      <c r="S5" s="2">
        <v>40</v>
      </c>
      <c r="T5" s="2">
        <v>41</v>
      </c>
      <c r="U5" s="2">
        <v>42</v>
      </c>
      <c r="V5" s="2">
        <v>43</v>
      </c>
      <c r="W5" s="2">
        <v>44</v>
      </c>
      <c r="X5" s="2">
        <v>45</v>
      </c>
      <c r="Y5" s="2">
        <v>46</v>
      </c>
      <c r="Z5" s="2">
        <v>47</v>
      </c>
      <c r="AA5" s="2">
        <v>48</v>
      </c>
      <c r="AB5" s="2">
        <v>49</v>
      </c>
      <c r="AC5" s="2">
        <v>50</v>
      </c>
      <c r="AD5" s="2">
        <v>51</v>
      </c>
      <c r="AE5" s="2">
        <v>52</v>
      </c>
      <c r="AF5" s="2">
        <v>53</v>
      </c>
      <c r="AG5" s="2">
        <v>54</v>
      </c>
      <c r="AH5" s="2">
        <v>55</v>
      </c>
    </row>
    <row r="6" spans="3:34" x14ac:dyDescent="0.3">
      <c r="C6" s="2" t="s">
        <v>2</v>
      </c>
      <c r="D6" s="3">
        <v>0.05</v>
      </c>
      <c r="E6" s="3">
        <f>D6+0.001</f>
        <v>5.1000000000000004E-2</v>
      </c>
      <c r="F6" s="3">
        <f>E6+0.001</f>
        <v>5.2000000000000005E-2</v>
      </c>
      <c r="G6" s="3">
        <f>F6+0.001</f>
        <v>5.3000000000000005E-2</v>
      </c>
      <c r="H6" s="3">
        <f>G6+0.001</f>
        <v>5.4000000000000006E-2</v>
      </c>
      <c r="I6" s="3">
        <f t="shared" ref="I6:X6" si="0">H6+0.001</f>
        <v>5.5000000000000007E-2</v>
      </c>
      <c r="J6" s="3">
        <f t="shared" si="0"/>
        <v>5.6000000000000008E-2</v>
      </c>
      <c r="K6" s="3">
        <f t="shared" si="0"/>
        <v>5.7000000000000009E-2</v>
      </c>
      <c r="L6" s="3">
        <f t="shared" si="0"/>
        <v>5.800000000000001E-2</v>
      </c>
      <c r="M6" s="3">
        <f t="shared" si="0"/>
        <v>5.9000000000000011E-2</v>
      </c>
      <c r="N6" s="3">
        <f t="shared" si="0"/>
        <v>6.0000000000000012E-2</v>
      </c>
      <c r="O6" s="3">
        <f t="shared" si="0"/>
        <v>6.1000000000000013E-2</v>
      </c>
      <c r="P6" s="3">
        <f t="shared" si="0"/>
        <v>6.2000000000000013E-2</v>
      </c>
      <c r="Q6" s="3">
        <f t="shared" si="0"/>
        <v>6.3000000000000014E-2</v>
      </c>
      <c r="R6" s="3">
        <f t="shared" si="0"/>
        <v>6.4000000000000015E-2</v>
      </c>
      <c r="S6" s="3">
        <f t="shared" si="0"/>
        <v>6.5000000000000016E-2</v>
      </c>
      <c r="T6" s="3">
        <f t="shared" si="0"/>
        <v>6.6000000000000017E-2</v>
      </c>
      <c r="U6" s="3">
        <f t="shared" si="0"/>
        <v>6.7000000000000018E-2</v>
      </c>
      <c r="V6" s="3">
        <f t="shared" si="0"/>
        <v>6.8000000000000019E-2</v>
      </c>
      <c r="W6" s="3">
        <f t="shared" si="0"/>
        <v>6.900000000000002E-2</v>
      </c>
      <c r="X6" s="3">
        <f t="shared" si="0"/>
        <v>7.0000000000000021E-2</v>
      </c>
      <c r="Y6" s="3">
        <v>1.05</v>
      </c>
      <c r="Z6" s="3">
        <f>Y6+0.001</f>
        <v>1.0509999999999999</v>
      </c>
      <c r="AA6" s="3">
        <f>Z6+0.001</f>
        <v>1.0519999999999998</v>
      </c>
      <c r="AB6" s="3">
        <f>AA6+0.001</f>
        <v>1.0529999999999997</v>
      </c>
      <c r="AC6" s="3">
        <f>AB6+0.001</f>
        <v>1.0539999999999996</v>
      </c>
      <c r="AD6" s="3">
        <f t="shared" ref="AD6:AH7" si="1">AC6+0.001</f>
        <v>1.0549999999999995</v>
      </c>
      <c r="AE6" s="3">
        <f t="shared" si="1"/>
        <v>1.0559999999999994</v>
      </c>
      <c r="AF6" s="3">
        <f t="shared" si="1"/>
        <v>1.0569999999999993</v>
      </c>
      <c r="AG6" s="3">
        <f t="shared" si="1"/>
        <v>1.0579999999999992</v>
      </c>
      <c r="AH6" s="3">
        <f t="shared" si="1"/>
        <v>1.0589999999999991</v>
      </c>
    </row>
    <row r="7" spans="3:34" x14ac:dyDescent="0.3">
      <c r="C7" s="2" t="s">
        <v>3</v>
      </c>
      <c r="D7" s="3">
        <v>0.08</v>
      </c>
      <c r="E7" s="3">
        <f>D7+0.001</f>
        <v>8.1000000000000003E-2</v>
      </c>
      <c r="F7" s="3">
        <f>E7+0.001</f>
        <v>8.2000000000000003E-2</v>
      </c>
      <c r="G7" s="3">
        <f t="shared" ref="G7:X7" si="2">F7+0.001</f>
        <v>8.3000000000000004E-2</v>
      </c>
      <c r="H7" s="3">
        <f t="shared" si="2"/>
        <v>8.4000000000000005E-2</v>
      </c>
      <c r="I7" s="3">
        <f t="shared" si="2"/>
        <v>8.5000000000000006E-2</v>
      </c>
      <c r="J7" s="3">
        <f t="shared" si="2"/>
        <v>8.6000000000000007E-2</v>
      </c>
      <c r="K7" s="3">
        <f t="shared" si="2"/>
        <v>8.7000000000000008E-2</v>
      </c>
      <c r="L7" s="3">
        <f t="shared" si="2"/>
        <v>8.8000000000000009E-2</v>
      </c>
      <c r="M7" s="3">
        <f t="shared" si="2"/>
        <v>8.900000000000001E-2</v>
      </c>
      <c r="N7" s="3">
        <f t="shared" si="2"/>
        <v>9.0000000000000011E-2</v>
      </c>
      <c r="O7" s="3">
        <f t="shared" si="2"/>
        <v>9.1000000000000011E-2</v>
      </c>
      <c r="P7" s="3">
        <f t="shared" si="2"/>
        <v>9.2000000000000012E-2</v>
      </c>
      <c r="Q7" s="3">
        <f t="shared" si="2"/>
        <v>9.3000000000000013E-2</v>
      </c>
      <c r="R7" s="3">
        <f t="shared" si="2"/>
        <v>9.4000000000000014E-2</v>
      </c>
      <c r="S7" s="3">
        <f t="shared" si="2"/>
        <v>9.5000000000000015E-2</v>
      </c>
      <c r="T7" s="3">
        <f t="shared" si="2"/>
        <v>9.6000000000000016E-2</v>
      </c>
      <c r="U7" s="3">
        <f t="shared" si="2"/>
        <v>9.7000000000000017E-2</v>
      </c>
      <c r="V7" s="3">
        <f t="shared" si="2"/>
        <v>9.8000000000000018E-2</v>
      </c>
      <c r="W7" s="3">
        <f t="shared" si="2"/>
        <v>9.9000000000000019E-2</v>
      </c>
      <c r="X7" s="3">
        <f t="shared" si="2"/>
        <v>0.10000000000000002</v>
      </c>
      <c r="Y7" s="3">
        <v>1.08</v>
      </c>
      <c r="Z7" s="3">
        <f>Y7+0.001</f>
        <v>1.081</v>
      </c>
      <c r="AA7" s="3">
        <f>Z7+0.001</f>
        <v>1.0819999999999999</v>
      </c>
      <c r="AB7" s="3">
        <f t="shared" ref="AB7" si="3">AA7+0.001</f>
        <v>1.0829999999999997</v>
      </c>
      <c r="AC7" s="3">
        <f t="shared" ref="AC7" si="4">AB7+0.001</f>
        <v>1.0839999999999996</v>
      </c>
      <c r="AD7" s="3">
        <f t="shared" si="1"/>
        <v>1.0849999999999995</v>
      </c>
      <c r="AE7" s="3">
        <f t="shared" si="1"/>
        <v>1.0859999999999994</v>
      </c>
      <c r="AF7" s="3">
        <f t="shared" si="1"/>
        <v>1.0869999999999993</v>
      </c>
      <c r="AG7" s="3">
        <f t="shared" si="1"/>
        <v>1.0879999999999992</v>
      </c>
      <c r="AH7" s="3">
        <f t="shared" si="1"/>
        <v>1.0889999999999991</v>
      </c>
    </row>
    <row r="10" spans="3:34" x14ac:dyDescent="0.3">
      <c r="C10" s="4" t="s">
        <v>4</v>
      </c>
      <c r="D10" s="4" t="s">
        <v>15</v>
      </c>
    </row>
    <row r="11" spans="3:34" x14ac:dyDescent="0.3">
      <c r="C11" s="3" t="s">
        <v>5</v>
      </c>
      <c r="D11" s="5">
        <v>0.05</v>
      </c>
    </row>
    <row r="12" spans="3:34" x14ac:dyDescent="0.3">
      <c r="C12" s="3" t="s">
        <v>6</v>
      </c>
      <c r="D12" s="5">
        <v>0.2</v>
      </c>
    </row>
    <row r="13" spans="3:34" x14ac:dyDescent="0.3">
      <c r="C13" s="3" t="s">
        <v>7</v>
      </c>
      <c r="D13" s="5">
        <v>0.6</v>
      </c>
    </row>
    <row r="14" spans="3:34" x14ac:dyDescent="0.3">
      <c r="C14" s="3" t="s">
        <v>8</v>
      </c>
      <c r="D14" s="5">
        <v>0.7</v>
      </c>
    </row>
    <row r="15" spans="3:34" x14ac:dyDescent="0.3">
      <c r="C15" s="3" t="s">
        <v>9</v>
      </c>
      <c r="D15" s="5">
        <v>0.75</v>
      </c>
    </row>
    <row r="17" spans="3:4" x14ac:dyDescent="0.3">
      <c r="C17" s="4" t="s">
        <v>10</v>
      </c>
      <c r="D17" s="4" t="s">
        <v>15</v>
      </c>
    </row>
    <row r="18" spans="3:4" x14ac:dyDescent="0.3">
      <c r="C18" s="3" t="s">
        <v>5</v>
      </c>
      <c r="D18" s="6">
        <f>D11-0.02</f>
        <v>3.0000000000000002E-2</v>
      </c>
    </row>
    <row r="19" spans="3:4" x14ac:dyDescent="0.3">
      <c r="C19" s="3" t="s">
        <v>6</v>
      </c>
      <c r="D19" s="6">
        <f t="shared" ref="D19:D22" si="5">D12-0.02</f>
        <v>0.18000000000000002</v>
      </c>
    </row>
    <row r="20" spans="3:4" x14ac:dyDescent="0.3">
      <c r="C20" s="3" t="s">
        <v>7</v>
      </c>
      <c r="D20" s="6">
        <f t="shared" si="5"/>
        <v>0.57999999999999996</v>
      </c>
    </row>
    <row r="21" spans="3:4" x14ac:dyDescent="0.3">
      <c r="C21" s="3" t="s">
        <v>8</v>
      </c>
      <c r="D21" s="6">
        <f t="shared" si="5"/>
        <v>0.67999999999999994</v>
      </c>
    </row>
    <row r="22" spans="3:4" x14ac:dyDescent="0.3">
      <c r="C22" s="3" t="s">
        <v>9</v>
      </c>
      <c r="D22" s="6">
        <f t="shared" si="5"/>
        <v>0.73</v>
      </c>
    </row>
    <row r="24" spans="3:4" x14ac:dyDescent="0.3">
      <c r="C24" s="4" t="s">
        <v>11</v>
      </c>
      <c r="D24" s="4" t="s">
        <v>14</v>
      </c>
    </row>
    <row r="25" spans="3:4" x14ac:dyDescent="0.3">
      <c r="C25" s="3" t="s">
        <v>12</v>
      </c>
      <c r="D25" s="3">
        <v>1.5</v>
      </c>
    </row>
    <row r="26" spans="3:4" x14ac:dyDescent="0.3">
      <c r="C26" s="3" t="s">
        <v>13</v>
      </c>
      <c r="D26" s="3">
        <v>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Q30"/>
  <sheetViews>
    <sheetView workbookViewId="0">
      <selection activeCell="S6" sqref="S6"/>
    </sheetView>
  </sheetViews>
  <sheetFormatPr defaultRowHeight="14.4" x14ac:dyDescent="0.3"/>
  <cols>
    <col min="3" max="3" width="18.44140625" bestFit="1" customWidth="1"/>
    <col min="4" max="4" width="13.21875" bestFit="1" customWidth="1"/>
    <col min="5" max="5" width="7.21875" customWidth="1"/>
    <col min="6" max="6" width="14.88671875" customWidth="1"/>
    <col min="13" max="13" width="8.88671875" customWidth="1"/>
    <col min="17" max="17" width="8.6640625" customWidth="1"/>
  </cols>
  <sheetData>
    <row r="3" spans="3:17" ht="18" x14ac:dyDescent="0.35">
      <c r="C3" s="20" t="s">
        <v>120</v>
      </c>
      <c r="D3" s="20"/>
    </row>
    <row r="4" spans="3:17" x14ac:dyDescent="0.3">
      <c r="F4" s="1" t="s">
        <v>123</v>
      </c>
      <c r="G4">
        <f>$D$6+G5</f>
        <v>33</v>
      </c>
      <c r="H4">
        <f t="shared" ref="H4:Q4" si="0">$D$6+H5</f>
        <v>34</v>
      </c>
      <c r="I4">
        <f t="shared" si="0"/>
        <v>35</v>
      </c>
      <c r="J4">
        <f t="shared" si="0"/>
        <v>36</v>
      </c>
      <c r="K4">
        <f t="shared" si="0"/>
        <v>37</v>
      </c>
      <c r="L4">
        <f t="shared" si="0"/>
        <v>38</v>
      </c>
      <c r="M4">
        <f t="shared" si="0"/>
        <v>39</v>
      </c>
      <c r="N4">
        <f t="shared" si="0"/>
        <v>40</v>
      </c>
      <c r="O4">
        <f t="shared" si="0"/>
        <v>41</v>
      </c>
      <c r="P4">
        <f t="shared" si="0"/>
        <v>42</v>
      </c>
      <c r="Q4">
        <f t="shared" si="0"/>
        <v>43</v>
      </c>
    </row>
    <row r="5" spans="3:17" x14ac:dyDescent="0.3">
      <c r="C5" s="8" t="s">
        <v>0</v>
      </c>
      <c r="D5" s="13" t="s">
        <v>3</v>
      </c>
      <c r="F5" s="10" t="s">
        <v>121</v>
      </c>
      <c r="G5" s="9">
        <v>0</v>
      </c>
      <c r="H5" s="9">
        <v>1</v>
      </c>
      <c r="I5" s="9">
        <v>2</v>
      </c>
      <c r="J5" s="9">
        <v>3</v>
      </c>
      <c r="K5" s="9">
        <v>4</v>
      </c>
      <c r="L5" s="9">
        <v>5</v>
      </c>
      <c r="M5" s="9">
        <v>6</v>
      </c>
      <c r="N5" s="9">
        <v>7</v>
      </c>
      <c r="O5" s="9">
        <v>8</v>
      </c>
      <c r="P5" s="9">
        <v>9</v>
      </c>
      <c r="Q5" s="9">
        <v>10</v>
      </c>
    </row>
    <row r="6" spans="3:17" x14ac:dyDescent="0.3">
      <c r="C6" s="8" t="s">
        <v>1</v>
      </c>
      <c r="D6" s="13">
        <v>33</v>
      </c>
      <c r="F6" s="10" t="s">
        <v>122</v>
      </c>
      <c r="G6" s="3">
        <f t="shared" ref="G6:Q6" si="1">HLOOKUP(G4,age_vs_gender,IF($D$5 = "F",3,2),0)</f>
        <v>8.8000000000000009E-2</v>
      </c>
      <c r="H6" s="3">
        <f t="shared" si="1"/>
        <v>8.900000000000001E-2</v>
      </c>
      <c r="I6" s="3">
        <f t="shared" si="1"/>
        <v>9.0000000000000011E-2</v>
      </c>
      <c r="J6" s="3">
        <f t="shared" si="1"/>
        <v>9.1000000000000011E-2</v>
      </c>
      <c r="K6" s="3">
        <f t="shared" si="1"/>
        <v>9.2000000000000012E-2</v>
      </c>
      <c r="L6" s="3">
        <f t="shared" si="1"/>
        <v>9.3000000000000013E-2</v>
      </c>
      <c r="M6" s="3">
        <f t="shared" si="1"/>
        <v>9.4000000000000014E-2</v>
      </c>
      <c r="N6" s="3">
        <f t="shared" si="1"/>
        <v>9.5000000000000015E-2</v>
      </c>
      <c r="O6" s="3">
        <f t="shared" si="1"/>
        <v>9.6000000000000016E-2</v>
      </c>
      <c r="P6" s="3">
        <f t="shared" si="1"/>
        <v>9.7000000000000017E-2</v>
      </c>
      <c r="Q6" s="3">
        <f t="shared" si="1"/>
        <v>9.8000000000000018E-2</v>
      </c>
    </row>
    <row r="8" spans="3:17" x14ac:dyDescent="0.3">
      <c r="C8" s="8" t="s">
        <v>17</v>
      </c>
      <c r="D8" s="13" t="s">
        <v>7</v>
      </c>
      <c r="F8" s="10" t="s">
        <v>121</v>
      </c>
      <c r="G8" s="9">
        <v>0</v>
      </c>
      <c r="H8" s="9">
        <v>1</v>
      </c>
      <c r="I8" s="9">
        <v>2</v>
      </c>
      <c r="J8" s="9">
        <v>3</v>
      </c>
      <c r="K8" s="9">
        <v>4</v>
      </c>
      <c r="L8" s="9">
        <v>5</v>
      </c>
      <c r="M8" s="9">
        <v>6</v>
      </c>
      <c r="N8" s="9">
        <v>7</v>
      </c>
      <c r="O8" s="9">
        <v>8</v>
      </c>
      <c r="P8" s="9">
        <v>9</v>
      </c>
      <c r="Q8" s="9">
        <v>10</v>
      </c>
    </row>
    <row r="9" spans="3:17" x14ac:dyDescent="0.3">
      <c r="F9" s="10" t="s">
        <v>122</v>
      </c>
      <c r="G9" s="3">
        <f t="shared" ref="G9:Q9" si="2">VLOOKUP($D$8,health_history,2,0)</f>
        <v>0.6</v>
      </c>
      <c r="H9" s="3">
        <f t="shared" si="2"/>
        <v>0.6</v>
      </c>
      <c r="I9" s="3">
        <f t="shared" si="2"/>
        <v>0.6</v>
      </c>
      <c r="J9" s="3">
        <f t="shared" si="2"/>
        <v>0.6</v>
      </c>
      <c r="K9" s="3">
        <f t="shared" si="2"/>
        <v>0.6</v>
      </c>
      <c r="L9" s="3">
        <f t="shared" si="2"/>
        <v>0.6</v>
      </c>
      <c r="M9" s="3">
        <f t="shared" si="2"/>
        <v>0.6</v>
      </c>
      <c r="N9" s="3">
        <f t="shared" si="2"/>
        <v>0.6</v>
      </c>
      <c r="O9" s="3">
        <f t="shared" si="2"/>
        <v>0.6</v>
      </c>
      <c r="P9" s="3">
        <f t="shared" si="2"/>
        <v>0.6</v>
      </c>
      <c r="Q9" s="3">
        <f t="shared" si="2"/>
        <v>0.6</v>
      </c>
    </row>
    <row r="10" spans="3:17" x14ac:dyDescent="0.3">
      <c r="C10" s="8" t="s">
        <v>10</v>
      </c>
      <c r="D10" s="13" t="s">
        <v>9</v>
      </c>
    </row>
    <row r="11" spans="3:17" x14ac:dyDescent="0.3">
      <c r="F11" s="10" t="s">
        <v>121</v>
      </c>
      <c r="G11" s="9">
        <v>0</v>
      </c>
      <c r="H11" s="9">
        <v>1</v>
      </c>
      <c r="I11" s="9">
        <v>2</v>
      </c>
      <c r="J11" s="9">
        <v>3</v>
      </c>
      <c r="K11" s="9">
        <v>4</v>
      </c>
      <c r="L11" s="9">
        <v>5</v>
      </c>
      <c r="M11" s="9">
        <v>6</v>
      </c>
      <c r="N11" s="9">
        <v>7</v>
      </c>
      <c r="O11" s="9">
        <v>8</v>
      </c>
      <c r="P11" s="9">
        <v>9</v>
      </c>
      <c r="Q11" s="9">
        <v>10</v>
      </c>
    </row>
    <row r="12" spans="3:17" x14ac:dyDescent="0.3">
      <c r="C12" s="8" t="s">
        <v>19</v>
      </c>
      <c r="D12" s="13" t="s">
        <v>12</v>
      </c>
      <c r="F12" s="10" t="s">
        <v>122</v>
      </c>
      <c r="G12" s="3">
        <f>VLOOKUP($D$10,family_health,2,0)</f>
        <v>0.73</v>
      </c>
      <c r="H12" s="3">
        <f t="shared" ref="H12:Q12" si="3">VLOOKUP($D$10,family_health,2,0)</f>
        <v>0.73</v>
      </c>
      <c r="I12" s="3">
        <f t="shared" si="3"/>
        <v>0.73</v>
      </c>
      <c r="J12" s="3">
        <f t="shared" si="3"/>
        <v>0.73</v>
      </c>
      <c r="K12" s="3">
        <f t="shared" si="3"/>
        <v>0.73</v>
      </c>
      <c r="L12" s="3">
        <f t="shared" si="3"/>
        <v>0.73</v>
      </c>
      <c r="M12" s="3">
        <f t="shared" si="3"/>
        <v>0.73</v>
      </c>
      <c r="N12" s="3">
        <f t="shared" si="3"/>
        <v>0.73</v>
      </c>
      <c r="O12" s="3">
        <f t="shared" si="3"/>
        <v>0.73</v>
      </c>
      <c r="P12" s="3">
        <f t="shared" si="3"/>
        <v>0.73</v>
      </c>
      <c r="Q12" s="3">
        <f t="shared" si="3"/>
        <v>0.73</v>
      </c>
    </row>
    <row r="14" spans="3:17" x14ac:dyDescent="0.3">
      <c r="C14" s="8" t="s">
        <v>127</v>
      </c>
      <c r="D14" s="13">
        <v>0.08</v>
      </c>
      <c r="F14" s="10" t="s">
        <v>121</v>
      </c>
      <c r="G14" s="9">
        <v>0</v>
      </c>
      <c r="H14" s="9">
        <v>1</v>
      </c>
      <c r="I14" s="9">
        <v>2</v>
      </c>
      <c r="J14" s="9">
        <v>3</v>
      </c>
      <c r="K14" s="9">
        <v>4</v>
      </c>
      <c r="L14" s="9">
        <v>5</v>
      </c>
      <c r="M14" s="9">
        <v>6</v>
      </c>
      <c r="N14" s="9">
        <v>7</v>
      </c>
      <c r="O14" s="9">
        <v>8</v>
      </c>
      <c r="P14" s="9">
        <v>9</v>
      </c>
      <c r="Q14" s="9">
        <v>10</v>
      </c>
    </row>
    <row r="15" spans="3:17" x14ac:dyDescent="0.3">
      <c r="F15" s="10" t="s">
        <v>122</v>
      </c>
      <c r="G15" s="3">
        <f t="shared" ref="G15:Q15" si="4">VLOOKUP($D$12,smoking_factor,2,0)</f>
        <v>1.5</v>
      </c>
      <c r="H15" s="3">
        <f t="shared" si="4"/>
        <v>1.5</v>
      </c>
      <c r="I15" s="3">
        <f t="shared" si="4"/>
        <v>1.5</v>
      </c>
      <c r="J15" s="3">
        <f t="shared" si="4"/>
        <v>1.5</v>
      </c>
      <c r="K15" s="3">
        <f t="shared" si="4"/>
        <v>1.5</v>
      </c>
      <c r="L15" s="3">
        <f t="shared" si="4"/>
        <v>1.5</v>
      </c>
      <c r="M15" s="3">
        <f t="shared" si="4"/>
        <v>1.5</v>
      </c>
      <c r="N15" s="3">
        <f t="shared" si="4"/>
        <v>1.5</v>
      </c>
      <c r="O15" s="3">
        <f t="shared" si="4"/>
        <v>1.5</v>
      </c>
      <c r="P15" s="3">
        <f t="shared" si="4"/>
        <v>1.5</v>
      </c>
      <c r="Q15" s="3">
        <f t="shared" si="4"/>
        <v>1.5</v>
      </c>
    </row>
    <row r="17" spans="6:17" x14ac:dyDescent="0.3">
      <c r="F17" s="12" t="s">
        <v>124</v>
      </c>
      <c r="G17" s="12"/>
      <c r="H17" s="12"/>
      <c r="I17" s="12"/>
      <c r="J17" s="12"/>
    </row>
    <row r="18" spans="6:17" x14ac:dyDescent="0.3">
      <c r="F18" s="10" t="s">
        <v>121</v>
      </c>
      <c r="G18" s="9">
        <v>0</v>
      </c>
      <c r="H18" s="9">
        <v>1</v>
      </c>
      <c r="I18" s="9">
        <v>2</v>
      </c>
      <c r="J18" s="9">
        <v>3</v>
      </c>
      <c r="K18" s="9">
        <v>4</v>
      </c>
      <c r="L18" s="9">
        <v>5</v>
      </c>
      <c r="M18" s="9">
        <v>6</v>
      </c>
      <c r="N18" s="9">
        <v>7</v>
      </c>
      <c r="O18" s="9">
        <v>8</v>
      </c>
      <c r="P18" s="9">
        <v>9</v>
      </c>
      <c r="Q18" s="9">
        <v>10</v>
      </c>
    </row>
    <row r="19" spans="6:17" x14ac:dyDescent="0.3">
      <c r="F19" s="3"/>
      <c r="G19" s="3">
        <f>G6*G9*G12*G15</f>
        <v>5.7816000000000006E-2</v>
      </c>
      <c r="H19" s="3">
        <f t="shared" ref="H19:P19" si="5">H6*H9*H12*H15</f>
        <v>5.8473000000000004E-2</v>
      </c>
      <c r="I19" s="3">
        <f t="shared" si="5"/>
        <v>5.9130000000000002E-2</v>
      </c>
      <c r="J19" s="3">
        <f t="shared" si="5"/>
        <v>5.9786999999999993E-2</v>
      </c>
      <c r="K19" s="3">
        <f t="shared" si="5"/>
        <v>6.0444000000000012E-2</v>
      </c>
      <c r="L19" s="3">
        <f t="shared" si="5"/>
        <v>6.1101000000000009E-2</v>
      </c>
      <c r="M19" s="3">
        <f t="shared" si="5"/>
        <v>6.1758E-2</v>
      </c>
      <c r="N19" s="3">
        <f t="shared" si="5"/>
        <v>6.2415000000000012E-2</v>
      </c>
      <c r="O19" s="3">
        <f t="shared" si="5"/>
        <v>6.3072000000000003E-2</v>
      </c>
      <c r="P19" s="3">
        <f t="shared" si="5"/>
        <v>6.3729000000000008E-2</v>
      </c>
      <c r="Q19" s="3">
        <f>Q6*Q9*Q12*Q15</f>
        <v>6.4385999999999999E-2</v>
      </c>
    </row>
    <row r="21" spans="6:17" x14ac:dyDescent="0.3">
      <c r="F21" s="11" t="s">
        <v>125</v>
      </c>
      <c r="G21" s="11"/>
      <c r="H21" s="11"/>
      <c r="I21" s="11"/>
      <c r="J21" s="11"/>
      <c r="K21" s="11"/>
      <c r="L21" s="11"/>
      <c r="M21" s="11"/>
      <c r="N21" s="11"/>
      <c r="O21" s="11"/>
    </row>
    <row r="22" spans="6:17" x14ac:dyDescent="0.3">
      <c r="F22" s="10" t="s">
        <v>121</v>
      </c>
      <c r="G22" s="9">
        <v>0</v>
      </c>
      <c r="H22" s="9">
        <v>1</v>
      </c>
      <c r="I22" s="9">
        <v>2</v>
      </c>
      <c r="J22" s="9">
        <v>3</v>
      </c>
      <c r="K22" s="9">
        <v>4</v>
      </c>
      <c r="L22" s="9">
        <v>5</v>
      </c>
      <c r="M22" s="9">
        <v>6</v>
      </c>
      <c r="N22" s="9">
        <v>7</v>
      </c>
      <c r="O22" s="9">
        <v>8</v>
      </c>
      <c r="P22" s="9">
        <v>9</v>
      </c>
      <c r="Q22" s="9">
        <v>10</v>
      </c>
    </row>
    <row r="23" spans="6:17" x14ac:dyDescent="0.3">
      <c r="F23" s="3"/>
      <c r="G23" s="3">
        <f>G19*1000+55</f>
        <v>112.816</v>
      </c>
      <c r="H23" s="3">
        <f t="shared" ref="H23:Q23" si="6">H19*1000+55</f>
        <v>113.47300000000001</v>
      </c>
      <c r="I23" s="3">
        <f t="shared" si="6"/>
        <v>114.13</v>
      </c>
      <c r="J23" s="3">
        <f t="shared" si="6"/>
        <v>114.78699999999999</v>
      </c>
      <c r="K23" s="3">
        <f t="shared" si="6"/>
        <v>115.44400000000002</v>
      </c>
      <c r="L23" s="3">
        <f t="shared" si="6"/>
        <v>116.101</v>
      </c>
      <c r="M23" s="3">
        <f t="shared" si="6"/>
        <v>116.75800000000001</v>
      </c>
      <c r="N23" s="3">
        <f t="shared" si="6"/>
        <v>117.41500000000002</v>
      </c>
      <c r="O23" s="3">
        <f t="shared" si="6"/>
        <v>118.072</v>
      </c>
      <c r="P23" s="3">
        <f t="shared" si="6"/>
        <v>118.72900000000001</v>
      </c>
      <c r="Q23" s="3">
        <f t="shared" si="6"/>
        <v>119.386</v>
      </c>
    </row>
    <row r="25" spans="6:17" x14ac:dyDescent="0.3">
      <c r="F25" s="1" t="s">
        <v>126</v>
      </c>
    </row>
    <row r="26" spans="6:17" x14ac:dyDescent="0.3">
      <c r="F26" s="10" t="s">
        <v>121</v>
      </c>
      <c r="G26" s="9">
        <v>0</v>
      </c>
      <c r="H26" s="9">
        <v>1</v>
      </c>
      <c r="I26" s="9">
        <v>2</v>
      </c>
      <c r="J26" s="9">
        <v>3</v>
      </c>
      <c r="K26" s="9">
        <v>4</v>
      </c>
      <c r="L26" s="9">
        <v>5</v>
      </c>
      <c r="M26" s="9">
        <v>6</v>
      </c>
      <c r="N26" s="9">
        <v>7</v>
      </c>
      <c r="O26" s="9">
        <v>8</v>
      </c>
      <c r="P26" s="9">
        <v>9</v>
      </c>
      <c r="Q26" s="9">
        <v>10</v>
      </c>
    </row>
    <row r="27" spans="6:17" x14ac:dyDescent="0.3">
      <c r="F27" s="3"/>
      <c r="G27" s="3">
        <f>G23/(1+$D$14)^(G26+1)</f>
        <v>104.45925925925926</v>
      </c>
      <c r="H27" s="3">
        <f>H23/(1+$D$14)^(H26+1)</f>
        <v>97.28480795610426</v>
      </c>
      <c r="I27" s="3">
        <f t="shared" ref="I27:Q27" si="7">I23/(1+$D$14)^(I26+1)</f>
        <v>90.600073667631946</v>
      </c>
      <c r="J27" s="3">
        <f t="shared" si="7"/>
        <v>84.371871712946472</v>
      </c>
      <c r="K27" s="3">
        <f t="shared" si="7"/>
        <v>78.5692465983646</v>
      </c>
      <c r="L27" s="3">
        <f t="shared" si="7"/>
        <v>73.163323850755319</v>
      </c>
      <c r="M27" s="3">
        <f t="shared" si="7"/>
        <v>68.12717157001623</v>
      </c>
      <c r="N27" s="3">
        <f t="shared" si="7"/>
        <v>63.435671073799497</v>
      </c>
      <c r="O27" s="3">
        <f t="shared" si="7"/>
        <v>59.065396047145626</v>
      </c>
      <c r="P27" s="3">
        <f t="shared" si="7"/>
        <v>54.994499646806482</v>
      </c>
      <c r="Q27" s="3">
        <f t="shared" si="7"/>
        <v>51.20260904488714</v>
      </c>
    </row>
    <row r="29" spans="6:17" x14ac:dyDescent="0.3">
      <c r="F29" s="10" t="s">
        <v>128</v>
      </c>
    </row>
    <row r="30" spans="6:17" x14ac:dyDescent="0.3">
      <c r="F30" s="3">
        <f>SUM(G27:Q27)</f>
        <v>825.273930427717</v>
      </c>
    </row>
  </sheetData>
  <mergeCells count="1">
    <mergeCell ref="C3:D3"/>
  </mergeCells>
  <conditionalFormatting sqref="F30">
    <cfRule type="cellIs" dxfId="0" priority="1" operator="greaterThan">
      <formula>900</formula>
    </cfRule>
  </conditionalFormatting>
  <dataValidations count="1">
    <dataValidation type="whole" allowBlank="1" showInputMessage="1" showErrorMessage="1" promptTitle="Instructions" prompt="Input any whole number between 25 - 45" sqref="D6">
      <formula1>25</formula1>
      <formula2>45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'Rate Tables'!$C$6:$C$7</xm:f>
          </x14:formula1>
          <xm:sqref>D5</xm:sqref>
        </x14:dataValidation>
        <x14:dataValidation type="list" allowBlank="1" showInputMessage="1" showErrorMessage="1">
          <x14:formula1>
            <xm:f>'Rate Tables'!$C$11:$C$15</xm:f>
          </x14:formula1>
          <xm:sqref>D8</xm:sqref>
        </x14:dataValidation>
        <x14:dataValidation type="list" allowBlank="1" showInputMessage="1" showErrorMessage="1">
          <x14:formula1>
            <xm:f>'Rate Tables'!$C$18:$C$22</xm:f>
          </x14:formula1>
          <xm:sqref>D10</xm:sqref>
        </x14:dataValidation>
        <x14:dataValidation type="list" allowBlank="1" showInputMessage="1" showErrorMessage="1">
          <x14:formula1>
            <xm:f>'Rate Tables'!$C$25:$C$26</xm:f>
          </x14:formula1>
          <xm:sqref>D12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101"/>
  <sheetViews>
    <sheetView tabSelected="1" workbookViewId="0">
      <selection activeCell="I3" sqref="I3"/>
    </sheetView>
  </sheetViews>
  <sheetFormatPr defaultRowHeight="14.4" x14ac:dyDescent="0.3"/>
  <cols>
    <col min="2" max="2" width="17.6640625" bestFit="1" customWidth="1"/>
    <col min="3" max="3" width="7.109375" bestFit="1" customWidth="1"/>
    <col min="4" max="4" width="4.21875" bestFit="1" customWidth="1"/>
    <col min="5" max="6" width="13.21875" bestFit="1" customWidth="1"/>
    <col min="7" max="7" width="13.33203125" bestFit="1" customWidth="1"/>
    <col min="8" max="11" width="21.33203125" bestFit="1" customWidth="1"/>
    <col min="14" max="14" width="13.21875" bestFit="1" customWidth="1"/>
  </cols>
  <sheetData>
    <row r="1" spans="2:14" x14ac:dyDescent="0.3">
      <c r="B1" s="10" t="s">
        <v>16</v>
      </c>
      <c r="C1" s="10" t="s">
        <v>0</v>
      </c>
      <c r="D1" s="10" t="s">
        <v>1</v>
      </c>
      <c r="E1" s="10" t="s">
        <v>17</v>
      </c>
      <c r="F1" s="10" t="s">
        <v>18</v>
      </c>
      <c r="G1" s="10" t="s">
        <v>19</v>
      </c>
      <c r="H1" s="10" t="s">
        <v>129</v>
      </c>
      <c r="I1" s="10" t="s">
        <v>130</v>
      </c>
      <c r="J1" s="10" t="s">
        <v>131</v>
      </c>
      <c r="K1" s="10" t="s">
        <v>132</v>
      </c>
    </row>
    <row r="2" spans="2:14" x14ac:dyDescent="0.3">
      <c r="B2" s="3" t="s">
        <v>20</v>
      </c>
      <c r="C2" s="3" t="s">
        <v>3</v>
      </c>
      <c r="D2" s="3">
        <v>41</v>
      </c>
      <c r="E2" s="3" t="s">
        <v>6</v>
      </c>
      <c r="F2" s="3" t="s">
        <v>5</v>
      </c>
      <c r="G2" s="3" t="s">
        <v>12</v>
      </c>
      <c r="H2" s="3">
        <v>591.85708517953378</v>
      </c>
      <c r="I2" s="3">
        <v>527.72221917439447</v>
      </c>
      <c r="J2" s="3">
        <v>473.28230770995367</v>
      </c>
      <c r="K2" s="3">
        <v>426.80513620813269</v>
      </c>
    </row>
    <row r="3" spans="2:14" x14ac:dyDescent="0.3">
      <c r="B3" s="3" t="s">
        <v>21</v>
      </c>
      <c r="C3" s="3" t="s">
        <v>3</v>
      </c>
      <c r="D3" s="3">
        <v>39</v>
      </c>
      <c r="E3" s="3" t="s">
        <v>5</v>
      </c>
      <c r="F3" s="3" t="s">
        <v>9</v>
      </c>
      <c r="G3" s="3" t="s">
        <v>12</v>
      </c>
      <c r="H3" s="3">
        <v>768.89494434769961</v>
      </c>
      <c r="I3" s="3">
        <v>676.97477309196279</v>
      </c>
      <c r="J3" s="3">
        <v>599.79845327515511</v>
      </c>
      <c r="K3" s="3">
        <v>534.62829086733313</v>
      </c>
    </row>
    <row r="4" spans="2:14" x14ac:dyDescent="0.3">
      <c r="B4" s="3" t="s">
        <v>22</v>
      </c>
      <c r="C4" s="3" t="s">
        <v>2</v>
      </c>
      <c r="D4" s="3">
        <v>42</v>
      </c>
      <c r="E4" s="3" t="s">
        <v>6</v>
      </c>
      <c r="F4" s="3" t="s">
        <v>5</v>
      </c>
      <c r="G4" s="3" t="s">
        <v>13</v>
      </c>
      <c r="H4" s="3">
        <v>577.61428883455983</v>
      </c>
      <c r="I4" s="3">
        <v>515.72722936050297</v>
      </c>
      <c r="J4" s="3">
        <v>463.13131737913579</v>
      </c>
      <c r="K4" s="3">
        <v>418.17333479230791</v>
      </c>
    </row>
    <row r="5" spans="2:14" x14ac:dyDescent="0.3">
      <c r="B5" s="3" t="s">
        <v>23</v>
      </c>
      <c r="C5" s="3" t="s">
        <v>2</v>
      </c>
      <c r="D5" s="3">
        <v>45</v>
      </c>
      <c r="E5" s="3" t="s">
        <v>5</v>
      </c>
      <c r="F5" s="3" t="s">
        <v>7</v>
      </c>
      <c r="G5" s="3" t="s">
        <v>12</v>
      </c>
      <c r="H5" s="3">
        <v>945.15812977424446</v>
      </c>
      <c r="I5" s="3">
        <v>842.38776097176458</v>
      </c>
      <c r="J5" s="3">
        <v>755.00892913284451</v>
      </c>
      <c r="K5" s="3">
        <v>680.28929352559589</v>
      </c>
      <c r="N5" s="7"/>
    </row>
    <row r="6" spans="2:14" x14ac:dyDescent="0.3">
      <c r="B6" s="3" t="s">
        <v>24</v>
      </c>
      <c r="C6" s="3" t="s">
        <v>3</v>
      </c>
      <c r="D6" s="3">
        <v>25</v>
      </c>
      <c r="E6" s="3" t="s">
        <v>7</v>
      </c>
      <c r="F6" s="3" t="s">
        <v>9</v>
      </c>
      <c r="G6" s="3" t="s">
        <v>12</v>
      </c>
      <c r="H6" s="3">
        <v>1083.5508848692011</v>
      </c>
      <c r="I6" s="3">
        <v>968.80467019301136</v>
      </c>
      <c r="J6" s="3">
        <v>871.22194866389555</v>
      </c>
      <c r="K6" s="3">
        <v>787.75153428620172</v>
      </c>
      <c r="N6" s="7"/>
    </row>
    <row r="7" spans="2:14" x14ac:dyDescent="0.3">
      <c r="B7" s="3" t="s">
        <v>25</v>
      </c>
      <c r="C7" s="3" t="s">
        <v>3</v>
      </c>
      <c r="D7" s="3">
        <v>43</v>
      </c>
      <c r="E7" s="3" t="s">
        <v>6</v>
      </c>
      <c r="F7" s="3" t="s">
        <v>6</v>
      </c>
      <c r="G7" s="3" t="s">
        <v>13</v>
      </c>
      <c r="H7" s="3">
        <v>817.78465115356153</v>
      </c>
      <c r="I7" s="3">
        <v>725.13569157852351</v>
      </c>
      <c r="J7" s="3">
        <v>646.61569674795498</v>
      </c>
      <c r="K7" s="3">
        <v>579.69731397128896</v>
      </c>
      <c r="N7" s="7"/>
    </row>
    <row r="8" spans="2:14" x14ac:dyDescent="0.3">
      <c r="B8" s="3" t="s">
        <v>26</v>
      </c>
      <c r="C8" s="3" t="s">
        <v>2</v>
      </c>
      <c r="D8" s="3">
        <v>29</v>
      </c>
      <c r="E8" s="3" t="s">
        <v>6</v>
      </c>
      <c r="F8" s="3" t="s">
        <v>9</v>
      </c>
      <c r="G8" s="3" t="s">
        <v>12</v>
      </c>
      <c r="H8" s="3">
        <v>664.30841051522918</v>
      </c>
      <c r="I8" s="3">
        <v>594.27021507270592</v>
      </c>
      <c r="J8" s="3">
        <v>534.68485353052836</v>
      </c>
      <c r="K8" s="3">
        <v>483.69660507899346</v>
      </c>
      <c r="N8" s="7"/>
    </row>
    <row r="9" spans="2:14" x14ac:dyDescent="0.3">
      <c r="B9" s="3" t="s">
        <v>27</v>
      </c>
      <c r="C9" s="3" t="s">
        <v>2</v>
      </c>
      <c r="D9" s="3">
        <v>28</v>
      </c>
      <c r="E9" s="3" t="s">
        <v>7</v>
      </c>
      <c r="F9" s="3" t="s">
        <v>6</v>
      </c>
      <c r="G9" s="3" t="s">
        <v>13</v>
      </c>
      <c r="H9" s="3">
        <v>599.37231562762497</v>
      </c>
      <c r="I9" s="3">
        <v>536.33192124585287</v>
      </c>
      <c r="J9" s="3">
        <v>482.68855303748404</v>
      </c>
      <c r="K9" s="3">
        <v>436.77515690725323</v>
      </c>
      <c r="N9" s="7"/>
    </row>
    <row r="10" spans="2:14" x14ac:dyDescent="0.3">
      <c r="B10" s="3" t="s">
        <v>28</v>
      </c>
      <c r="C10" s="3" t="s">
        <v>2</v>
      </c>
      <c r="D10" s="3">
        <v>34</v>
      </c>
      <c r="E10" s="3" t="s">
        <v>6</v>
      </c>
      <c r="F10" s="3" t="s">
        <v>9</v>
      </c>
      <c r="G10" s="3" t="s">
        <v>13</v>
      </c>
      <c r="H10" s="3">
        <v>629.44222024773239</v>
      </c>
      <c r="I10" s="3">
        <v>563.18403108094299</v>
      </c>
      <c r="J10" s="3">
        <v>506.80668803620335</v>
      </c>
      <c r="K10" s="3">
        <v>458.55685869632322</v>
      </c>
    </row>
    <row r="11" spans="2:14" x14ac:dyDescent="0.3">
      <c r="B11" s="3" t="s">
        <v>29</v>
      </c>
      <c r="C11" s="3" t="s">
        <v>2</v>
      </c>
      <c r="D11" s="3">
        <v>42</v>
      </c>
      <c r="E11" s="3" t="s">
        <v>6</v>
      </c>
      <c r="F11" s="3" t="s">
        <v>5</v>
      </c>
      <c r="G11" s="3" t="s">
        <v>13</v>
      </c>
      <c r="H11" s="3">
        <v>577.61428883455983</v>
      </c>
      <c r="I11" s="3">
        <v>515.72722936050297</v>
      </c>
      <c r="J11" s="3">
        <v>463.13131737913579</v>
      </c>
      <c r="K11" s="3">
        <v>418.17333479230791</v>
      </c>
    </row>
    <row r="12" spans="2:14" x14ac:dyDescent="0.3">
      <c r="B12" s="3" t="s">
        <v>30</v>
      </c>
      <c r="C12" s="3" t="s">
        <v>2</v>
      </c>
      <c r="D12" s="3">
        <v>27</v>
      </c>
      <c r="E12" s="3" t="s">
        <v>6</v>
      </c>
      <c r="F12" s="3" t="s">
        <v>9</v>
      </c>
      <c r="G12" s="3" t="s">
        <v>13</v>
      </c>
      <c r="H12" s="3">
        <v>619.44006154539943</v>
      </c>
      <c r="I12" s="3">
        <v>554.23082388238447</v>
      </c>
      <c r="J12" s="3">
        <v>498.74630221870723</v>
      </c>
      <c r="K12" s="3">
        <v>451.26083722436186</v>
      </c>
    </row>
    <row r="13" spans="2:14" x14ac:dyDescent="0.3">
      <c r="B13" s="3" t="s">
        <v>31</v>
      </c>
      <c r="C13" s="3" t="s">
        <v>3</v>
      </c>
      <c r="D13" s="3">
        <v>25</v>
      </c>
      <c r="E13" s="3" t="s">
        <v>6</v>
      </c>
      <c r="F13" s="3" t="s">
        <v>6</v>
      </c>
      <c r="G13" s="3" t="s">
        <v>13</v>
      </c>
      <c r="H13" s="3">
        <v>568.15468317157706</v>
      </c>
      <c r="I13" s="3">
        <v>508.50996984530104</v>
      </c>
      <c r="J13" s="3">
        <v>457.7476275840487</v>
      </c>
      <c r="K13" s="3">
        <v>414.29281503169915</v>
      </c>
    </row>
    <row r="14" spans="2:14" x14ac:dyDescent="0.3">
      <c r="B14" s="3" t="s">
        <v>32</v>
      </c>
      <c r="C14" s="3" t="s">
        <v>3</v>
      </c>
      <c r="D14" s="3">
        <v>38</v>
      </c>
      <c r="E14" s="3" t="s">
        <v>6</v>
      </c>
      <c r="F14" s="3" t="s">
        <v>8</v>
      </c>
      <c r="G14" s="3" t="s">
        <v>13</v>
      </c>
      <c r="H14" s="3">
        <v>996.16858318992502</v>
      </c>
      <c r="I14" s="3">
        <v>868.10035008496641</v>
      </c>
      <c r="J14" s="3">
        <v>761.56687959936028</v>
      </c>
      <c r="K14" s="3">
        <v>672.43254559447848</v>
      </c>
    </row>
    <row r="15" spans="2:14" x14ac:dyDescent="0.3">
      <c r="B15" s="3" t="s">
        <v>33</v>
      </c>
      <c r="C15" s="3" t="s">
        <v>2</v>
      </c>
      <c r="D15" s="3">
        <v>27</v>
      </c>
      <c r="E15" s="3" t="s">
        <v>6</v>
      </c>
      <c r="F15" s="3" t="s">
        <v>6</v>
      </c>
      <c r="G15" s="3" t="s">
        <v>13</v>
      </c>
      <c r="H15" s="3">
        <v>558.28954034187882</v>
      </c>
      <c r="I15" s="3">
        <v>499.67940932069541</v>
      </c>
      <c r="J15" s="3">
        <v>449.79765801062786</v>
      </c>
      <c r="K15" s="3">
        <v>407.09673905935392</v>
      </c>
    </row>
    <row r="16" spans="2:14" x14ac:dyDescent="0.3">
      <c r="B16" s="3" t="s">
        <v>34</v>
      </c>
      <c r="C16" s="3" t="s">
        <v>2</v>
      </c>
      <c r="D16" s="3">
        <v>32</v>
      </c>
      <c r="E16" s="3" t="s">
        <v>7</v>
      </c>
      <c r="F16" s="3" t="s">
        <v>6</v>
      </c>
      <c r="G16" s="3" t="s">
        <v>12</v>
      </c>
      <c r="H16" s="3">
        <v>636.26202972808778</v>
      </c>
      <c r="I16" s="3">
        <v>569.26156122720135</v>
      </c>
      <c r="J16" s="3">
        <v>512.25447341982272</v>
      </c>
      <c r="K16" s="3">
        <v>463.46726709756916</v>
      </c>
    </row>
    <row r="17" spans="2:11" x14ac:dyDescent="0.3">
      <c r="B17" s="3" t="s">
        <v>35</v>
      </c>
      <c r="C17" s="3" t="s">
        <v>3</v>
      </c>
      <c r="D17" s="3">
        <v>35</v>
      </c>
      <c r="E17" s="3" t="s">
        <v>7</v>
      </c>
      <c r="F17" s="3" t="s">
        <v>7</v>
      </c>
      <c r="G17" s="3" t="s">
        <v>12</v>
      </c>
      <c r="H17" s="3">
        <v>1022.5955791228907</v>
      </c>
      <c r="I17" s="3">
        <v>914.47029333102432</v>
      </c>
      <c r="J17" s="3">
        <v>822.50571198094485</v>
      </c>
      <c r="K17" s="3">
        <v>743.83024961561387</v>
      </c>
    </row>
    <row r="18" spans="2:11" x14ac:dyDescent="0.3">
      <c r="B18" s="3" t="s">
        <v>36</v>
      </c>
      <c r="C18" s="3" t="s">
        <v>2</v>
      </c>
      <c r="D18" s="3">
        <v>41</v>
      </c>
      <c r="E18" s="3" t="s">
        <v>5</v>
      </c>
      <c r="F18" s="3" t="s">
        <v>5</v>
      </c>
      <c r="G18" s="3" t="s">
        <v>12</v>
      </c>
      <c r="H18" s="3">
        <v>551.01114092191369</v>
      </c>
      <c r="I18" s="3">
        <v>492.70888694099131</v>
      </c>
      <c r="J18" s="3">
        <v>443.12178918681457</v>
      </c>
      <c r="K18" s="3">
        <v>400.70167961861267</v>
      </c>
    </row>
    <row r="19" spans="2:11" x14ac:dyDescent="0.3">
      <c r="B19" s="3" t="s">
        <v>37</v>
      </c>
      <c r="C19" s="3" t="s">
        <v>2</v>
      </c>
      <c r="D19" s="3">
        <v>31</v>
      </c>
      <c r="E19" s="3" t="s">
        <v>5</v>
      </c>
      <c r="F19" s="3" t="s">
        <v>8</v>
      </c>
      <c r="G19" s="3" t="s">
        <v>12</v>
      </c>
      <c r="H19" s="3">
        <v>568.62476477997097</v>
      </c>
      <c r="I19" s="3">
        <v>508.90537582813488</v>
      </c>
      <c r="J19" s="3">
        <v>458.0813955435799</v>
      </c>
      <c r="K19" s="3">
        <v>414.57546479054389</v>
      </c>
    </row>
    <row r="20" spans="2:11" x14ac:dyDescent="0.3">
      <c r="B20" s="3" t="s">
        <v>38</v>
      </c>
      <c r="C20" s="3" t="s">
        <v>2</v>
      </c>
      <c r="D20" s="3">
        <v>31</v>
      </c>
      <c r="E20" s="3" t="s">
        <v>7</v>
      </c>
      <c r="F20" s="3" t="s">
        <v>7</v>
      </c>
      <c r="G20" s="3" t="s">
        <v>13</v>
      </c>
      <c r="H20" s="3">
        <v>745.35794750733533</v>
      </c>
      <c r="I20" s="3">
        <v>666.6016414772663</v>
      </c>
      <c r="J20" s="3">
        <v>599.61234190263997</v>
      </c>
      <c r="K20" s="3">
        <v>542.29961937490111</v>
      </c>
    </row>
    <row r="21" spans="2:11" x14ac:dyDescent="0.3">
      <c r="B21" s="3" t="s">
        <v>39</v>
      </c>
      <c r="C21" s="3" t="s">
        <v>2</v>
      </c>
      <c r="D21" s="3">
        <v>40</v>
      </c>
      <c r="E21" s="3" t="s">
        <v>7</v>
      </c>
      <c r="F21" s="3" t="s">
        <v>9</v>
      </c>
      <c r="G21" s="3" t="s">
        <v>13</v>
      </c>
      <c r="H21" s="3">
        <v>2632.2084591655707</v>
      </c>
      <c r="I21" s="3">
        <v>2257.5933539867474</v>
      </c>
      <c r="J21" s="3">
        <v>1946.9396536917004</v>
      </c>
      <c r="K21" s="3">
        <v>1688.0478119617383</v>
      </c>
    </row>
    <row r="22" spans="2:11" x14ac:dyDescent="0.3">
      <c r="B22" s="3" t="s">
        <v>40</v>
      </c>
      <c r="C22" s="3" t="s">
        <v>3</v>
      </c>
      <c r="D22" s="3">
        <v>41</v>
      </c>
      <c r="E22" s="3" t="s">
        <v>7</v>
      </c>
      <c r="F22" s="3" t="s">
        <v>8</v>
      </c>
      <c r="G22" s="3" t="s">
        <v>13</v>
      </c>
      <c r="H22" s="3">
        <v>2967.256710929074</v>
      </c>
      <c r="I22" s="3">
        <v>2562.4448891167731</v>
      </c>
      <c r="J22" s="3">
        <v>2224.6354397385026</v>
      </c>
      <c r="K22" s="3">
        <v>1941.324991664776</v>
      </c>
    </row>
    <row r="23" spans="2:11" x14ac:dyDescent="0.3">
      <c r="B23" s="3" t="s">
        <v>41</v>
      </c>
      <c r="C23" s="3" t="s">
        <v>3</v>
      </c>
      <c r="D23" s="3">
        <v>29</v>
      </c>
      <c r="E23" s="3" t="s">
        <v>6</v>
      </c>
      <c r="F23" s="3" t="s">
        <v>5</v>
      </c>
      <c r="G23" s="3" t="s">
        <v>12</v>
      </c>
      <c r="H23" s="3">
        <v>546.09847919261688</v>
      </c>
      <c r="I23" s="3">
        <v>488.81253394829798</v>
      </c>
      <c r="J23" s="3">
        <v>440.05441067403774</v>
      </c>
      <c r="K23" s="3">
        <v>398.31248212523633</v>
      </c>
    </row>
    <row r="24" spans="2:11" x14ac:dyDescent="0.3">
      <c r="B24" s="3" t="s">
        <v>42</v>
      </c>
      <c r="C24" s="3" t="s">
        <v>2</v>
      </c>
      <c r="D24" s="3">
        <v>44</v>
      </c>
      <c r="E24" s="3" t="s">
        <v>5</v>
      </c>
      <c r="F24" s="3" t="s">
        <v>6</v>
      </c>
      <c r="G24" s="3" t="s">
        <v>12</v>
      </c>
      <c r="H24" s="3">
        <v>651.71479786578641</v>
      </c>
      <c r="I24" s="3">
        <v>581.38696502181233</v>
      </c>
      <c r="J24" s="3">
        <v>521.6013167155769</v>
      </c>
      <c r="K24" s="3">
        <v>470.48516842390461</v>
      </c>
    </row>
    <row r="25" spans="2:11" x14ac:dyDescent="0.3">
      <c r="B25" s="3" t="s">
        <v>43</v>
      </c>
      <c r="C25" s="3" t="s">
        <v>3</v>
      </c>
      <c r="D25" s="3">
        <v>43</v>
      </c>
      <c r="E25" s="3" t="s">
        <v>6</v>
      </c>
      <c r="F25" s="3" t="s">
        <v>6</v>
      </c>
      <c r="G25" s="3" t="s">
        <v>13</v>
      </c>
      <c r="H25" s="3">
        <v>817.78465115356153</v>
      </c>
      <c r="I25" s="3">
        <v>725.13569157852351</v>
      </c>
      <c r="J25" s="3">
        <v>646.61569674795498</v>
      </c>
      <c r="K25" s="3">
        <v>579.69731397128896</v>
      </c>
    </row>
    <row r="26" spans="2:11" x14ac:dyDescent="0.3">
      <c r="B26" s="3" t="s">
        <v>44</v>
      </c>
      <c r="C26" s="3" t="s">
        <v>2</v>
      </c>
      <c r="D26" s="3">
        <v>38</v>
      </c>
      <c r="E26" s="3" t="s">
        <v>7</v>
      </c>
      <c r="F26" s="3" t="s">
        <v>8</v>
      </c>
      <c r="G26" s="3" t="s">
        <v>12</v>
      </c>
      <c r="H26" s="3">
        <v>2419.1038455152134</v>
      </c>
      <c r="I26" s="3">
        <v>2059.2174561181173</v>
      </c>
      <c r="J26" s="3">
        <v>1764.0245849317412</v>
      </c>
      <c r="K26" s="3">
        <v>1520.6244516744191</v>
      </c>
    </row>
    <row r="27" spans="2:11" x14ac:dyDescent="0.3">
      <c r="B27" s="3" t="s">
        <v>45</v>
      </c>
      <c r="C27" s="3" t="s">
        <v>3</v>
      </c>
      <c r="D27" s="3">
        <v>37</v>
      </c>
      <c r="E27" s="3" t="s">
        <v>6</v>
      </c>
      <c r="F27" s="3" t="s">
        <v>9</v>
      </c>
      <c r="G27" s="3" t="s">
        <v>13</v>
      </c>
      <c r="H27" s="3">
        <v>908.80745125427472</v>
      </c>
      <c r="I27" s="3">
        <v>794.80029765315817</v>
      </c>
      <c r="J27" s="3">
        <v>699.91509694516742</v>
      </c>
      <c r="K27" s="3">
        <v>620.46042913517886</v>
      </c>
    </row>
    <row r="28" spans="2:11" x14ac:dyDescent="0.3">
      <c r="B28" s="3" t="s">
        <v>46</v>
      </c>
      <c r="C28" s="3" t="s">
        <v>3</v>
      </c>
      <c r="D28" s="3">
        <v>43</v>
      </c>
      <c r="E28" s="3" t="s">
        <v>7</v>
      </c>
      <c r="F28" s="3" t="s">
        <v>9</v>
      </c>
      <c r="G28" s="3" t="s">
        <v>13</v>
      </c>
      <c r="H28" s="3">
        <v>3938.9574145247625</v>
      </c>
      <c r="I28" s="3">
        <v>3442.09146758305</v>
      </c>
      <c r="J28" s="3">
        <v>3023.302174511573</v>
      </c>
      <c r="K28" s="3">
        <v>2668.4701046909254</v>
      </c>
    </row>
    <row r="29" spans="2:11" x14ac:dyDescent="0.3">
      <c r="B29" s="3" t="s">
        <v>47</v>
      </c>
      <c r="C29" s="3" t="s">
        <v>3</v>
      </c>
      <c r="D29" s="3">
        <v>43</v>
      </c>
      <c r="E29" s="3" t="s">
        <v>5</v>
      </c>
      <c r="F29" s="3" t="s">
        <v>7</v>
      </c>
      <c r="G29" s="3" t="s">
        <v>12</v>
      </c>
      <c r="H29" s="3">
        <v>876.01548629108402</v>
      </c>
      <c r="I29" s="3">
        <v>775.8251650114438</v>
      </c>
      <c r="J29" s="3">
        <v>690.95686237787322</v>
      </c>
      <c r="K29" s="3">
        <v>618.6669555891923</v>
      </c>
    </row>
    <row r="30" spans="2:11" x14ac:dyDescent="0.3">
      <c r="B30" s="3" t="s">
        <v>48</v>
      </c>
      <c r="C30" s="3" t="s">
        <v>3</v>
      </c>
      <c r="D30" s="3">
        <v>27</v>
      </c>
      <c r="E30" s="3" t="s">
        <v>6</v>
      </c>
      <c r="F30" s="3" t="s">
        <v>7</v>
      </c>
      <c r="G30" s="3" t="s">
        <v>13</v>
      </c>
      <c r="H30" s="3">
        <v>636.82087786947966</v>
      </c>
      <c r="I30" s="3">
        <v>569.83962431955592</v>
      </c>
      <c r="J30" s="3">
        <v>512.84299550742605</v>
      </c>
      <c r="K30" s="3">
        <v>464.05967879817098</v>
      </c>
    </row>
    <row r="31" spans="2:11" x14ac:dyDescent="0.3">
      <c r="B31" s="3" t="s">
        <v>49</v>
      </c>
      <c r="C31" s="3" t="s">
        <v>2</v>
      </c>
      <c r="D31" s="3">
        <v>36</v>
      </c>
      <c r="E31" s="3" t="s">
        <v>5</v>
      </c>
      <c r="F31" s="3" t="s">
        <v>5</v>
      </c>
      <c r="G31" s="3" t="s">
        <v>12</v>
      </c>
      <c r="H31" s="3">
        <v>541.49722269126141</v>
      </c>
      <c r="I31" s="3">
        <v>484.55030753966508</v>
      </c>
      <c r="J31" s="3">
        <v>436.09941442397655</v>
      </c>
      <c r="K31" s="3">
        <v>394.63567650336262</v>
      </c>
    </row>
    <row r="32" spans="2:11" x14ac:dyDescent="0.3">
      <c r="B32" s="3" t="s">
        <v>50</v>
      </c>
      <c r="C32" s="3" t="s">
        <v>3</v>
      </c>
      <c r="D32" s="3">
        <v>25</v>
      </c>
      <c r="E32" s="3" t="s">
        <v>5</v>
      </c>
      <c r="F32" s="3" t="s">
        <v>6</v>
      </c>
      <c r="G32" s="3" t="s">
        <v>12</v>
      </c>
      <c r="H32" s="3">
        <v>549.48090774775005</v>
      </c>
      <c r="I32" s="3">
        <v>491.83262562980428</v>
      </c>
      <c r="J32" s="3">
        <v>442.76667392173528</v>
      </c>
      <c r="K32" s="3">
        <v>400.76170201523172</v>
      </c>
    </row>
    <row r="33" spans="2:11" x14ac:dyDescent="0.3">
      <c r="B33" s="3" t="s">
        <v>51</v>
      </c>
      <c r="C33" s="3" t="s">
        <v>2</v>
      </c>
      <c r="D33" s="3">
        <v>25</v>
      </c>
      <c r="E33" s="3" t="s">
        <v>6</v>
      </c>
      <c r="F33" s="3" t="s">
        <v>8</v>
      </c>
      <c r="G33" s="3" t="s">
        <v>12</v>
      </c>
      <c r="H33" s="3">
        <v>647.69002963203161</v>
      </c>
      <c r="I33" s="3">
        <v>579.42002251685687</v>
      </c>
      <c r="J33" s="3">
        <v>521.33774251926661</v>
      </c>
      <c r="K33" s="3">
        <v>471.63466429398818</v>
      </c>
    </row>
    <row r="34" spans="2:11" x14ac:dyDescent="0.3">
      <c r="B34" s="3" t="s">
        <v>52</v>
      </c>
      <c r="C34" s="3" t="s">
        <v>3</v>
      </c>
      <c r="D34" s="3">
        <v>39</v>
      </c>
      <c r="E34" s="3" t="s">
        <v>5</v>
      </c>
      <c r="F34" s="3" t="s">
        <v>7</v>
      </c>
      <c r="G34" s="3" t="s">
        <v>13</v>
      </c>
      <c r="H34" s="3">
        <v>660.43062886373923</v>
      </c>
      <c r="I34" s="3">
        <v>585.19257646584401</v>
      </c>
      <c r="J34" s="3">
        <v>521.71582218048297</v>
      </c>
      <c r="K34" s="3">
        <v>467.84983682083021</v>
      </c>
    </row>
    <row r="35" spans="2:11" x14ac:dyDescent="0.3">
      <c r="B35" s="3" t="s">
        <v>53</v>
      </c>
      <c r="C35" s="3" t="s">
        <v>3</v>
      </c>
      <c r="D35" s="3">
        <v>32</v>
      </c>
      <c r="E35" s="3" t="s">
        <v>5</v>
      </c>
      <c r="F35" s="3" t="s">
        <v>6</v>
      </c>
      <c r="G35" s="3" t="s">
        <v>13</v>
      </c>
      <c r="H35" s="3">
        <v>546.36272408984098</v>
      </c>
      <c r="I35" s="3">
        <v>489.04906681949279</v>
      </c>
      <c r="J35" s="3">
        <v>440.26735628761145</v>
      </c>
      <c r="K35" s="3">
        <v>398.50523416020974</v>
      </c>
    </row>
    <row r="36" spans="2:11" x14ac:dyDescent="0.3">
      <c r="B36" s="3" t="s">
        <v>54</v>
      </c>
      <c r="C36" s="3" t="s">
        <v>2</v>
      </c>
      <c r="D36" s="3">
        <v>32</v>
      </c>
      <c r="E36" s="3" t="s">
        <v>5</v>
      </c>
      <c r="F36" s="3" t="s">
        <v>8</v>
      </c>
      <c r="G36" s="3" t="s">
        <v>12</v>
      </c>
      <c r="H36" s="3">
        <v>569.12389403028317</v>
      </c>
      <c r="I36" s="3">
        <v>509.35216014039173</v>
      </c>
      <c r="J36" s="3">
        <v>458.48362614699698</v>
      </c>
      <c r="K36" s="3">
        <v>414.93955196771606</v>
      </c>
    </row>
    <row r="37" spans="2:11" x14ac:dyDescent="0.3">
      <c r="B37" s="3" t="s">
        <v>55</v>
      </c>
      <c r="C37" s="3" t="s">
        <v>2</v>
      </c>
      <c r="D37" s="3">
        <v>34</v>
      </c>
      <c r="E37" s="3" t="s">
        <v>6</v>
      </c>
      <c r="F37" s="3" t="s">
        <v>9</v>
      </c>
      <c r="G37" s="3" t="s">
        <v>13</v>
      </c>
      <c r="H37" s="3">
        <v>629.44222024773239</v>
      </c>
      <c r="I37" s="3">
        <v>563.18403108094299</v>
      </c>
      <c r="J37" s="3">
        <v>506.80668803620335</v>
      </c>
      <c r="K37" s="3">
        <v>458.55685869632322</v>
      </c>
    </row>
    <row r="38" spans="2:11" x14ac:dyDescent="0.3">
      <c r="B38" s="3" t="s">
        <v>56</v>
      </c>
      <c r="C38" s="3" t="s">
        <v>3</v>
      </c>
      <c r="D38" s="3">
        <v>25</v>
      </c>
      <c r="E38" s="3" t="s">
        <v>7</v>
      </c>
      <c r="F38" s="3" t="s">
        <v>6</v>
      </c>
      <c r="G38" s="3" t="s">
        <v>12</v>
      </c>
      <c r="H38" s="3">
        <v>672.72782554500805</v>
      </c>
      <c r="I38" s="3">
        <v>601.90309745208276</v>
      </c>
      <c r="J38" s="3">
        <v>541.64096809300315</v>
      </c>
      <c r="K38" s="3">
        <v>490.06704792391713</v>
      </c>
    </row>
    <row r="39" spans="2:11" x14ac:dyDescent="0.3">
      <c r="B39" s="3" t="s">
        <v>57</v>
      </c>
      <c r="C39" s="3" t="s">
        <v>3</v>
      </c>
      <c r="D39" s="3">
        <v>33</v>
      </c>
      <c r="E39" s="3" t="s">
        <v>6</v>
      </c>
      <c r="F39" s="3" t="s">
        <v>6</v>
      </c>
      <c r="G39" s="3" t="s">
        <v>13</v>
      </c>
      <c r="H39" s="3">
        <v>570.9732954086337</v>
      </c>
      <c r="I39" s="3">
        <v>511.03298713804548</v>
      </c>
      <c r="J39" s="3">
        <v>460.01904746216883</v>
      </c>
      <c r="K39" s="3">
        <v>416.34883673808361</v>
      </c>
    </row>
    <row r="40" spans="2:11" x14ac:dyDescent="0.3">
      <c r="B40" s="3" t="s">
        <v>58</v>
      </c>
      <c r="C40" s="3" t="s">
        <v>3</v>
      </c>
      <c r="D40" s="3">
        <v>32</v>
      </c>
      <c r="E40" s="3" t="s">
        <v>7</v>
      </c>
      <c r="F40" s="3" t="s">
        <v>5</v>
      </c>
      <c r="G40" s="3" t="s">
        <v>12</v>
      </c>
      <c r="H40" s="3">
        <v>562.5348872826147</v>
      </c>
      <c r="I40" s="3">
        <v>503.49476225746582</v>
      </c>
      <c r="J40" s="3">
        <v>453.24586541413976</v>
      </c>
      <c r="K40" s="3">
        <v>410.22963406992687</v>
      </c>
    </row>
    <row r="41" spans="2:11" x14ac:dyDescent="0.3">
      <c r="B41" s="3" t="s">
        <v>59</v>
      </c>
      <c r="C41" s="3" t="s">
        <v>3</v>
      </c>
      <c r="D41" s="3">
        <v>27</v>
      </c>
      <c r="E41" s="3" t="s">
        <v>6</v>
      </c>
      <c r="F41" s="3" t="s">
        <v>9</v>
      </c>
      <c r="G41" s="3" t="s">
        <v>12</v>
      </c>
      <c r="H41" s="3">
        <v>724.32136272922662</v>
      </c>
      <c r="I41" s="3">
        <v>647.98945826405691</v>
      </c>
      <c r="J41" s="3">
        <v>583.04716843550466</v>
      </c>
      <c r="K41" s="3">
        <v>527.47273391076101</v>
      </c>
    </row>
    <row r="42" spans="2:11" x14ac:dyDescent="0.3">
      <c r="B42" s="3" t="s">
        <v>60</v>
      </c>
      <c r="C42" s="3" t="s">
        <v>2</v>
      </c>
      <c r="D42" s="3">
        <v>32</v>
      </c>
      <c r="E42" s="3" t="s">
        <v>7</v>
      </c>
      <c r="F42" s="3" t="s">
        <v>7</v>
      </c>
      <c r="G42" s="3" t="s">
        <v>12</v>
      </c>
      <c r="H42" s="3">
        <v>854.00733469394106</v>
      </c>
      <c r="I42" s="3">
        <v>763.56232150874575</v>
      </c>
      <c r="J42" s="3">
        <v>686.64641052087916</v>
      </c>
      <c r="K42" s="3">
        <v>620.85445130249786</v>
      </c>
    </row>
    <row r="43" spans="2:11" x14ac:dyDescent="0.3">
      <c r="B43" s="3" t="s">
        <v>61</v>
      </c>
      <c r="C43" s="3" t="s">
        <v>2</v>
      </c>
      <c r="D43" s="3">
        <v>30</v>
      </c>
      <c r="E43" s="3" t="s">
        <v>7</v>
      </c>
      <c r="F43" s="3" t="s">
        <v>5</v>
      </c>
      <c r="G43" s="3" t="s">
        <v>12</v>
      </c>
      <c r="H43" s="3">
        <v>554.0790505714449</v>
      </c>
      <c r="I43" s="3">
        <v>495.9257103792325</v>
      </c>
      <c r="J43" s="3">
        <v>446.43160577977909</v>
      </c>
      <c r="K43" s="3">
        <v>404.06156895077379</v>
      </c>
    </row>
    <row r="44" spans="2:11" x14ac:dyDescent="0.3">
      <c r="B44" s="3" t="s">
        <v>62</v>
      </c>
      <c r="C44" s="3" t="s">
        <v>3</v>
      </c>
      <c r="D44" s="3">
        <v>30</v>
      </c>
      <c r="E44" s="3" t="s">
        <v>6</v>
      </c>
      <c r="F44" s="3" t="s">
        <v>7</v>
      </c>
      <c r="G44" s="3" t="s">
        <v>12</v>
      </c>
      <c r="H44" s="3">
        <v>691.20173023715768</v>
      </c>
      <c r="I44" s="3">
        <v>618.41929577218002</v>
      </c>
      <c r="J44" s="3">
        <v>556.4923909280584</v>
      </c>
      <c r="K44" s="3">
        <v>503.49454043740263</v>
      </c>
    </row>
    <row r="45" spans="2:11" x14ac:dyDescent="0.3">
      <c r="B45" s="3" t="s">
        <v>63</v>
      </c>
      <c r="C45" s="3" t="s">
        <v>3</v>
      </c>
      <c r="D45" s="3">
        <v>43</v>
      </c>
      <c r="E45" s="3" t="s">
        <v>7</v>
      </c>
      <c r="F45" s="3" t="s">
        <v>5</v>
      </c>
      <c r="G45" s="3" t="s">
        <v>13</v>
      </c>
      <c r="H45" s="3">
        <v>678.03064682350782</v>
      </c>
      <c r="I45" s="3">
        <v>603.48095533951482</v>
      </c>
      <c r="J45" s="3">
        <v>540.19689923615113</v>
      </c>
      <c r="K45" s="3">
        <v>486.17017408831992</v>
      </c>
    </row>
    <row r="46" spans="2:11" x14ac:dyDescent="0.3">
      <c r="B46" s="3" t="s">
        <v>64</v>
      </c>
      <c r="C46" s="3" t="s">
        <v>2</v>
      </c>
      <c r="D46" s="3">
        <v>44</v>
      </c>
      <c r="E46" s="3" t="s">
        <v>5</v>
      </c>
      <c r="F46" s="3" t="s">
        <v>6</v>
      </c>
      <c r="G46" s="3" t="s">
        <v>13</v>
      </c>
      <c r="H46" s="3">
        <v>613.90207940834227</v>
      </c>
      <c r="I46" s="3">
        <v>548.2000497147103</v>
      </c>
      <c r="J46" s="3">
        <v>492.32691171850047</v>
      </c>
      <c r="K46" s="3">
        <v>444.53779035105345</v>
      </c>
    </row>
    <row r="47" spans="2:11" x14ac:dyDescent="0.3">
      <c r="B47" s="3" t="s">
        <v>65</v>
      </c>
      <c r="C47" s="3" t="s">
        <v>2</v>
      </c>
      <c r="D47" s="3">
        <v>32</v>
      </c>
      <c r="E47" s="3" t="s">
        <v>5</v>
      </c>
      <c r="F47" s="3" t="s">
        <v>7</v>
      </c>
      <c r="G47" s="3" t="s">
        <v>13</v>
      </c>
      <c r="H47" s="3">
        <v>555.81723650459207</v>
      </c>
      <c r="I47" s="3">
        <v>497.4782247898529</v>
      </c>
      <c r="J47" s="3">
        <v>447.82634110193243</v>
      </c>
      <c r="K47" s="3">
        <v>405.32144626630384</v>
      </c>
    </row>
    <row r="48" spans="2:11" x14ac:dyDescent="0.3">
      <c r="B48" s="3" t="s">
        <v>66</v>
      </c>
      <c r="C48" s="3" t="s">
        <v>2</v>
      </c>
      <c r="D48" s="3">
        <v>44</v>
      </c>
      <c r="E48" s="3" t="s">
        <v>6</v>
      </c>
      <c r="F48" s="3" t="s">
        <v>6</v>
      </c>
      <c r="G48" s="3" t="s">
        <v>12</v>
      </c>
      <c r="H48" s="3">
        <v>992.02926398278396</v>
      </c>
      <c r="I48" s="3">
        <v>880.06920278573068</v>
      </c>
      <c r="J48" s="3">
        <v>785.0709616892658</v>
      </c>
      <c r="K48" s="3">
        <v>704.01157107956476</v>
      </c>
    </row>
    <row r="49" spans="2:11" x14ac:dyDescent="0.3">
      <c r="B49" s="3" t="s">
        <v>67</v>
      </c>
      <c r="C49" s="3" t="s">
        <v>3</v>
      </c>
      <c r="D49" s="3">
        <v>40</v>
      </c>
      <c r="E49" s="3" t="s">
        <v>5</v>
      </c>
      <c r="F49" s="3" t="s">
        <v>6</v>
      </c>
      <c r="G49" s="3" t="s">
        <v>13</v>
      </c>
      <c r="H49" s="3">
        <v>583.94508769868332</v>
      </c>
      <c r="I49" s="3">
        <v>520.67991359778784</v>
      </c>
      <c r="J49" s="3">
        <v>466.99991851694841</v>
      </c>
      <c r="K49" s="3">
        <v>421.18846094734113</v>
      </c>
    </row>
    <row r="50" spans="2:11" x14ac:dyDescent="0.3">
      <c r="B50" s="3" t="s">
        <v>68</v>
      </c>
      <c r="C50" s="3" t="s">
        <v>2</v>
      </c>
      <c r="D50" s="3">
        <v>34</v>
      </c>
      <c r="E50" s="3" t="s">
        <v>7</v>
      </c>
      <c r="F50" s="3" t="s">
        <v>6</v>
      </c>
      <c r="G50" s="3" t="s">
        <v>13</v>
      </c>
      <c r="H50" s="3">
        <v>605.71419316100241</v>
      </c>
      <c r="I50" s="3">
        <v>542.00871015452799</v>
      </c>
      <c r="J50" s="3">
        <v>487.79924776325447</v>
      </c>
      <c r="K50" s="3">
        <v>441.40120574661807</v>
      </c>
    </row>
    <row r="51" spans="2:11" x14ac:dyDescent="0.3">
      <c r="B51" s="3" t="s">
        <v>69</v>
      </c>
      <c r="C51" s="3" t="s">
        <v>3</v>
      </c>
      <c r="D51" s="3">
        <v>41</v>
      </c>
      <c r="E51" s="3" t="s">
        <v>6</v>
      </c>
      <c r="F51" s="3" t="s">
        <v>5</v>
      </c>
      <c r="G51" s="3" t="s">
        <v>12</v>
      </c>
      <c r="H51" s="3">
        <v>591.85708517953378</v>
      </c>
      <c r="I51" s="3">
        <v>527.72221917439447</v>
      </c>
      <c r="J51" s="3">
        <v>473.28230770995367</v>
      </c>
      <c r="K51" s="3">
        <v>426.80513620813269</v>
      </c>
    </row>
    <row r="52" spans="2:11" x14ac:dyDescent="0.3">
      <c r="B52" s="3" t="s">
        <v>70</v>
      </c>
      <c r="C52" s="3" t="s">
        <v>2</v>
      </c>
      <c r="D52" s="3">
        <v>37</v>
      </c>
      <c r="E52" s="3" t="s">
        <v>5</v>
      </c>
      <c r="F52" s="3" t="s">
        <v>8</v>
      </c>
      <c r="G52" s="3" t="s">
        <v>13</v>
      </c>
      <c r="H52" s="3">
        <v>614.58205404795081</v>
      </c>
      <c r="I52" s="3">
        <v>545.77490731283638</v>
      </c>
      <c r="J52" s="3">
        <v>487.71059813208632</v>
      </c>
      <c r="K52" s="3">
        <v>438.41465660446914</v>
      </c>
    </row>
    <row r="53" spans="2:11" x14ac:dyDescent="0.3">
      <c r="B53" s="3" t="s">
        <v>71</v>
      </c>
      <c r="C53" s="3" t="s">
        <v>3</v>
      </c>
      <c r="D53" s="3">
        <v>43</v>
      </c>
      <c r="E53" s="3" t="s">
        <v>6</v>
      </c>
      <c r="F53" s="3" t="s">
        <v>7</v>
      </c>
      <c r="G53" s="3" t="s">
        <v>12</v>
      </c>
      <c r="H53" s="3">
        <v>1889.2320176839739</v>
      </c>
      <c r="I53" s="3">
        <v>1657.8220027442562</v>
      </c>
      <c r="J53" s="3">
        <v>1462.493144338451</v>
      </c>
      <c r="K53" s="3">
        <v>1296.7387197407163</v>
      </c>
    </row>
    <row r="54" spans="2:11" x14ac:dyDescent="0.3">
      <c r="B54" s="3" t="s">
        <v>72</v>
      </c>
      <c r="C54" s="3" t="s">
        <v>3</v>
      </c>
      <c r="D54" s="3">
        <v>37</v>
      </c>
      <c r="E54" s="3" t="s">
        <v>6</v>
      </c>
      <c r="F54" s="3" t="s">
        <v>5</v>
      </c>
      <c r="G54" s="3" t="s">
        <v>12</v>
      </c>
      <c r="H54" s="3">
        <v>561.11758275953184</v>
      </c>
      <c r="I54" s="3">
        <v>501.11914175101219</v>
      </c>
      <c r="J54" s="3">
        <v>450.18380690919241</v>
      </c>
      <c r="K54" s="3">
        <v>406.68657224897066</v>
      </c>
    </row>
    <row r="55" spans="2:11" x14ac:dyDescent="0.3">
      <c r="B55" s="3" t="s">
        <v>73</v>
      </c>
      <c r="C55" s="3" t="s">
        <v>2</v>
      </c>
      <c r="D55" s="3">
        <v>40</v>
      </c>
      <c r="E55" s="3" t="s">
        <v>5</v>
      </c>
      <c r="F55" s="3" t="s">
        <v>7</v>
      </c>
      <c r="G55" s="3" t="s">
        <v>13</v>
      </c>
      <c r="H55" s="3">
        <v>676.91596368863986</v>
      </c>
      <c r="I55" s="3">
        <v>599.39984218658151</v>
      </c>
      <c r="J55" s="3">
        <v>533.96459717424068</v>
      </c>
      <c r="K55" s="3">
        <v>478.41184369150477</v>
      </c>
    </row>
    <row r="56" spans="2:11" x14ac:dyDescent="0.3">
      <c r="B56" s="3" t="s">
        <v>74</v>
      </c>
      <c r="C56" s="3" t="s">
        <v>2</v>
      </c>
      <c r="D56" s="3">
        <v>30</v>
      </c>
      <c r="E56" s="3" t="s">
        <v>7</v>
      </c>
      <c r="F56" s="3" t="s">
        <v>5</v>
      </c>
      <c r="G56" s="3" t="s">
        <v>13</v>
      </c>
      <c r="H56" s="3">
        <v>548.81158121211445</v>
      </c>
      <c r="I56" s="3">
        <v>491.2258799529904</v>
      </c>
      <c r="J56" s="3">
        <v>442.21377109463515</v>
      </c>
      <c r="K56" s="3">
        <v>400.25539070229962</v>
      </c>
    </row>
    <row r="57" spans="2:11" x14ac:dyDescent="0.3">
      <c r="B57" s="3" t="s">
        <v>75</v>
      </c>
      <c r="C57" s="3" t="s">
        <v>3</v>
      </c>
      <c r="D57" s="3">
        <v>34</v>
      </c>
      <c r="E57" s="3" t="s">
        <v>7</v>
      </c>
      <c r="F57" s="3" t="s">
        <v>5</v>
      </c>
      <c r="G57" s="3" t="s">
        <v>13</v>
      </c>
      <c r="H57" s="3">
        <v>554.80113221585975</v>
      </c>
      <c r="I57" s="3">
        <v>496.5872917000724</v>
      </c>
      <c r="J57" s="3">
        <v>447.04053833564058</v>
      </c>
      <c r="K57" s="3">
        <v>404.62443682836641</v>
      </c>
    </row>
    <row r="58" spans="2:11" x14ac:dyDescent="0.3">
      <c r="B58" s="3" t="s">
        <v>76</v>
      </c>
      <c r="C58" s="3" t="s">
        <v>2</v>
      </c>
      <c r="D58" s="3">
        <v>37</v>
      </c>
      <c r="E58" s="3" t="s">
        <v>5</v>
      </c>
      <c r="F58" s="3" t="s">
        <v>8</v>
      </c>
      <c r="G58" s="3" t="s">
        <v>12</v>
      </c>
      <c r="H58" s="3">
        <v>652.73475982519915</v>
      </c>
      <c r="I58" s="3">
        <v>577.74925141900155</v>
      </c>
      <c r="J58" s="3">
        <v>514.6768463359557</v>
      </c>
      <c r="K58" s="3">
        <v>461.30046780402802</v>
      </c>
    </row>
    <row r="59" spans="2:11" x14ac:dyDescent="0.3">
      <c r="B59" s="3" t="s">
        <v>77</v>
      </c>
      <c r="C59" s="3" t="s">
        <v>3</v>
      </c>
      <c r="D59" s="3">
        <v>41</v>
      </c>
      <c r="E59" s="3" t="s">
        <v>6</v>
      </c>
      <c r="F59" s="3" t="s">
        <v>6</v>
      </c>
      <c r="G59" s="3" t="s">
        <v>12</v>
      </c>
      <c r="H59" s="3">
        <v>859.75929860993324</v>
      </c>
      <c r="I59" s="3">
        <v>757.20221954383578</v>
      </c>
      <c r="J59" s="3">
        <v>670.80333763798558</v>
      </c>
      <c r="K59" s="3">
        <v>597.61564622203991</v>
      </c>
    </row>
    <row r="60" spans="2:11" x14ac:dyDescent="0.3">
      <c r="B60" s="3" t="s">
        <v>78</v>
      </c>
      <c r="C60" s="3" t="s">
        <v>2</v>
      </c>
      <c r="D60" s="3">
        <v>42</v>
      </c>
      <c r="E60" s="3" t="s">
        <v>6</v>
      </c>
      <c r="F60" s="3" t="s">
        <v>7</v>
      </c>
      <c r="G60" s="3" t="s">
        <v>13</v>
      </c>
      <c r="H60" s="3">
        <v>1298.8044717548325</v>
      </c>
      <c r="I60" s="3">
        <v>1137.2457507937777</v>
      </c>
      <c r="J60" s="3">
        <v>1001.2736043835916</v>
      </c>
      <c r="K60" s="3">
        <v>886.22884555318001</v>
      </c>
    </row>
    <row r="61" spans="2:11" x14ac:dyDescent="0.3">
      <c r="B61" s="3" t="s">
        <v>79</v>
      </c>
      <c r="C61" s="3" t="s">
        <v>3</v>
      </c>
      <c r="D61" s="3">
        <v>36</v>
      </c>
      <c r="E61" s="3" t="s">
        <v>7</v>
      </c>
      <c r="F61" s="3" t="s">
        <v>6</v>
      </c>
      <c r="G61" s="3" t="s">
        <v>13</v>
      </c>
      <c r="H61" s="3">
        <v>724.57387965509361</v>
      </c>
      <c r="I61" s="3">
        <v>640.96640872350906</v>
      </c>
      <c r="J61" s="3">
        <v>570.75458493540395</v>
      </c>
      <c r="K61" s="3">
        <v>511.42010870672135</v>
      </c>
    </row>
    <row r="62" spans="2:11" x14ac:dyDescent="0.3">
      <c r="B62" s="3" t="s">
        <v>80</v>
      </c>
      <c r="C62" s="3" t="s">
        <v>3</v>
      </c>
      <c r="D62" s="3">
        <v>38</v>
      </c>
      <c r="E62" s="3" t="s">
        <v>6</v>
      </c>
      <c r="F62" s="3" t="s">
        <v>6</v>
      </c>
      <c r="G62" s="3" t="s">
        <v>12</v>
      </c>
      <c r="H62" s="3">
        <v>720.08667776999391</v>
      </c>
      <c r="I62" s="3">
        <v>635.19977110904188</v>
      </c>
      <c r="J62" s="3">
        <v>563.92952823354358</v>
      </c>
      <c r="K62" s="3">
        <v>503.73592843338702</v>
      </c>
    </row>
    <row r="63" spans="2:11" x14ac:dyDescent="0.3">
      <c r="B63" s="3" t="s">
        <v>81</v>
      </c>
      <c r="C63" s="3" t="s">
        <v>3</v>
      </c>
      <c r="D63" s="3">
        <v>35</v>
      </c>
      <c r="E63" s="3" t="s">
        <v>6</v>
      </c>
      <c r="F63" s="3" t="s">
        <v>6</v>
      </c>
      <c r="G63" s="3" t="s">
        <v>13</v>
      </c>
      <c r="H63" s="3">
        <v>571.67794846789798</v>
      </c>
      <c r="I63" s="3">
        <v>511.66374146123167</v>
      </c>
      <c r="J63" s="3">
        <v>460.58690243169889</v>
      </c>
      <c r="K63" s="3">
        <v>416.86284216467965</v>
      </c>
    </row>
    <row r="64" spans="2:11" x14ac:dyDescent="0.3">
      <c r="B64" s="3" t="s">
        <v>82</v>
      </c>
      <c r="C64" s="3" t="s">
        <v>2</v>
      </c>
      <c r="D64" s="3">
        <v>35</v>
      </c>
      <c r="E64" s="3" t="s">
        <v>5</v>
      </c>
      <c r="F64" s="3" t="s">
        <v>9</v>
      </c>
      <c r="G64" s="3" t="s">
        <v>13</v>
      </c>
      <c r="H64" s="3">
        <v>561.42525688567832</v>
      </c>
      <c r="I64" s="3">
        <v>502.48542949556395</v>
      </c>
      <c r="J64" s="3">
        <v>452.32311922436475</v>
      </c>
      <c r="K64" s="3">
        <v>409.38206252352137</v>
      </c>
    </row>
    <row r="65" spans="2:11" x14ac:dyDescent="0.3">
      <c r="B65" s="3" t="s">
        <v>83</v>
      </c>
      <c r="C65" s="3" t="s">
        <v>2</v>
      </c>
      <c r="D65" s="3">
        <v>35</v>
      </c>
      <c r="E65" s="3" t="s">
        <v>7</v>
      </c>
      <c r="F65" s="3" t="s">
        <v>9</v>
      </c>
      <c r="G65" s="3" t="s">
        <v>13</v>
      </c>
      <c r="H65" s="3">
        <v>816.06001520014627</v>
      </c>
      <c r="I65" s="3">
        <v>729.73674384119886</v>
      </c>
      <c r="J65" s="3">
        <v>656.31831172455634</v>
      </c>
      <c r="K65" s="3">
        <v>593.51137402339327</v>
      </c>
    </row>
    <row r="66" spans="2:11" x14ac:dyDescent="0.3">
      <c r="B66" s="3" t="s">
        <v>84</v>
      </c>
      <c r="C66" s="3" t="s">
        <v>2</v>
      </c>
      <c r="D66" s="3">
        <v>45</v>
      </c>
      <c r="E66" s="3" t="s">
        <v>5</v>
      </c>
      <c r="F66" s="3" t="s">
        <v>6</v>
      </c>
      <c r="G66" s="3" t="s">
        <v>13</v>
      </c>
      <c r="H66" s="3">
        <v>622.45901917223807</v>
      </c>
      <c r="I66" s="3">
        <v>556.42515879800806</v>
      </c>
      <c r="J66" s="3">
        <v>500.23965222265713</v>
      </c>
      <c r="K66" s="3">
        <v>452.15605337505701</v>
      </c>
    </row>
    <row r="67" spans="2:11" x14ac:dyDescent="0.3">
      <c r="B67" s="3" t="s">
        <v>85</v>
      </c>
      <c r="C67" s="3" t="s">
        <v>2</v>
      </c>
      <c r="D67" s="3">
        <v>44</v>
      </c>
      <c r="E67" s="3" t="s">
        <v>5</v>
      </c>
      <c r="F67" s="3" t="s">
        <v>8</v>
      </c>
      <c r="G67" s="3" t="s">
        <v>12</v>
      </c>
      <c r="H67" s="3">
        <v>966.82078501115438</v>
      </c>
      <c r="I67" s="3">
        <v>857.94459258099596</v>
      </c>
      <c r="J67" s="3">
        <v>765.55469169121454</v>
      </c>
      <c r="K67" s="3">
        <v>686.71331903099747</v>
      </c>
    </row>
    <row r="68" spans="2:11" x14ac:dyDescent="0.3">
      <c r="B68" s="3" t="s">
        <v>86</v>
      </c>
      <c r="C68" s="3" t="s">
        <v>3</v>
      </c>
      <c r="D68" s="3">
        <v>45</v>
      </c>
      <c r="E68" s="3" t="s">
        <v>7</v>
      </c>
      <c r="F68" s="3" t="s">
        <v>6</v>
      </c>
      <c r="G68" s="3" t="s">
        <v>12</v>
      </c>
      <c r="H68" s="3">
        <v>2101.1235042119006</v>
      </c>
      <c r="I68" s="3">
        <v>1867.1830504706006</v>
      </c>
      <c r="J68" s="3">
        <v>1668.416221137202</v>
      </c>
      <c r="K68" s="3">
        <v>1498.5727455552919</v>
      </c>
    </row>
    <row r="69" spans="2:11" x14ac:dyDescent="0.3">
      <c r="B69" s="3" t="s">
        <v>87</v>
      </c>
      <c r="C69" s="3" t="s">
        <v>3</v>
      </c>
      <c r="D69" s="3">
        <v>44</v>
      </c>
      <c r="E69" s="3" t="s">
        <v>6</v>
      </c>
      <c r="F69" s="3" t="s">
        <v>5</v>
      </c>
      <c r="G69" s="3" t="s">
        <v>13</v>
      </c>
      <c r="H69" s="3">
        <v>590.45523308487327</v>
      </c>
      <c r="I69" s="3">
        <v>527.65232531794084</v>
      </c>
      <c r="J69" s="3">
        <v>474.2302791442745</v>
      </c>
      <c r="K69" s="3">
        <v>428.52455186897623</v>
      </c>
    </row>
    <row r="70" spans="2:11" x14ac:dyDescent="0.3">
      <c r="B70" s="3" t="s">
        <v>88</v>
      </c>
      <c r="C70" s="3" t="s">
        <v>3</v>
      </c>
      <c r="D70" s="3">
        <v>36</v>
      </c>
      <c r="E70" s="3" t="s">
        <v>7</v>
      </c>
      <c r="F70" s="3" t="s">
        <v>8</v>
      </c>
      <c r="G70" s="3" t="s">
        <v>12</v>
      </c>
      <c r="H70" s="3">
        <v>1593.9609864094123</v>
      </c>
      <c r="I70" s="3">
        <v>1383.6206269641887</v>
      </c>
      <c r="J70" s="3">
        <v>1209.978173253668</v>
      </c>
      <c r="K70" s="3">
        <v>1065.7131230464486</v>
      </c>
    </row>
    <row r="71" spans="2:11" x14ac:dyDescent="0.3">
      <c r="B71" s="3" t="s">
        <v>89</v>
      </c>
      <c r="C71" s="3" t="s">
        <v>3</v>
      </c>
      <c r="D71" s="3">
        <v>45</v>
      </c>
      <c r="E71" s="3" t="s">
        <v>7</v>
      </c>
      <c r="F71" s="3" t="s">
        <v>5</v>
      </c>
      <c r="G71" s="3" t="s">
        <v>13</v>
      </c>
      <c r="H71" s="3">
        <v>711.92629379550363</v>
      </c>
      <c r="I71" s="3">
        <v>635.75475591940551</v>
      </c>
      <c r="J71" s="3">
        <v>570.96011499244241</v>
      </c>
      <c r="K71" s="3">
        <v>515.52411324423349</v>
      </c>
    </row>
    <row r="72" spans="2:11" x14ac:dyDescent="0.3">
      <c r="B72" s="3" t="s">
        <v>90</v>
      </c>
      <c r="C72" s="3" t="s">
        <v>2</v>
      </c>
      <c r="D72" s="3">
        <v>39</v>
      </c>
      <c r="E72" s="3" t="s">
        <v>7</v>
      </c>
      <c r="F72" s="3" t="s">
        <v>8</v>
      </c>
      <c r="G72" s="3" t="s">
        <v>13</v>
      </c>
      <c r="H72" s="3">
        <v>2137.0658444556657</v>
      </c>
      <c r="I72" s="3">
        <v>1828.8557015746537</v>
      </c>
      <c r="J72" s="3">
        <v>1574.4355136664219</v>
      </c>
      <c r="K72" s="3">
        <v>1363.3440243431676</v>
      </c>
    </row>
    <row r="73" spans="2:11" x14ac:dyDescent="0.3">
      <c r="B73" s="3" t="s">
        <v>91</v>
      </c>
      <c r="C73" s="3" t="s">
        <v>3</v>
      </c>
      <c r="D73" s="3">
        <v>41</v>
      </c>
      <c r="E73" s="3" t="s">
        <v>5</v>
      </c>
      <c r="F73" s="3" t="s">
        <v>6</v>
      </c>
      <c r="G73" s="3" t="s">
        <v>13</v>
      </c>
      <c r="H73" s="3">
        <v>591.85708517953378</v>
      </c>
      <c r="I73" s="3">
        <v>527.72221917439447</v>
      </c>
      <c r="J73" s="3">
        <v>473.28230770995367</v>
      </c>
      <c r="K73" s="3">
        <v>426.80513620813269</v>
      </c>
    </row>
    <row r="74" spans="2:11" x14ac:dyDescent="0.3">
      <c r="B74" s="3" t="s">
        <v>92</v>
      </c>
      <c r="C74" s="3" t="s">
        <v>3</v>
      </c>
      <c r="D74" s="3">
        <v>27</v>
      </c>
      <c r="E74" s="3" t="s">
        <v>6</v>
      </c>
      <c r="F74" s="3" t="s">
        <v>6</v>
      </c>
      <c r="G74" s="3" t="s">
        <v>13</v>
      </c>
      <c r="H74" s="3">
        <v>568.85933623084122</v>
      </c>
      <c r="I74" s="3">
        <v>509.14072416848711</v>
      </c>
      <c r="J74" s="3">
        <v>458.31548255357865</v>
      </c>
      <c r="K74" s="3">
        <v>414.80682045829531</v>
      </c>
    </row>
    <row r="75" spans="2:11" x14ac:dyDescent="0.3">
      <c r="B75" s="3" t="s">
        <v>93</v>
      </c>
      <c r="C75" s="3" t="s">
        <v>3</v>
      </c>
      <c r="D75" s="3">
        <v>28</v>
      </c>
      <c r="E75" s="3" t="s">
        <v>6</v>
      </c>
      <c r="F75" s="3" t="s">
        <v>6</v>
      </c>
      <c r="G75" s="3" t="s">
        <v>12</v>
      </c>
      <c r="H75" s="3">
        <v>584.67917289398304</v>
      </c>
      <c r="I75" s="3">
        <v>523.27104244486713</v>
      </c>
      <c r="J75" s="3">
        <v>471.01006419534184</v>
      </c>
      <c r="K75" s="3">
        <v>426.27421765471439</v>
      </c>
    </row>
    <row r="76" spans="2:11" x14ac:dyDescent="0.3">
      <c r="B76" s="3" t="s">
        <v>94</v>
      </c>
      <c r="C76" s="3" t="s">
        <v>2</v>
      </c>
      <c r="D76" s="3">
        <v>33</v>
      </c>
      <c r="E76" s="3" t="s">
        <v>5</v>
      </c>
      <c r="F76" s="3" t="s">
        <v>9</v>
      </c>
      <c r="G76" s="3" t="s">
        <v>13</v>
      </c>
      <c r="H76" s="3">
        <v>560.71081697836883</v>
      </c>
      <c r="I76" s="3">
        <v>501.84591469566681</v>
      </c>
      <c r="J76" s="3">
        <v>451.74737738025789</v>
      </c>
      <c r="K76" s="3">
        <v>408.860918132667</v>
      </c>
    </row>
    <row r="77" spans="2:11" x14ac:dyDescent="0.3">
      <c r="B77" s="3" t="s">
        <v>95</v>
      </c>
      <c r="C77" s="3" t="s">
        <v>2</v>
      </c>
      <c r="D77" s="3">
        <v>35</v>
      </c>
      <c r="E77" s="3" t="s">
        <v>5</v>
      </c>
      <c r="F77" s="3" t="s">
        <v>5</v>
      </c>
      <c r="G77" s="3" t="s">
        <v>12</v>
      </c>
      <c r="H77" s="3">
        <v>539.70361187379649</v>
      </c>
      <c r="I77" s="3">
        <v>483.09973207006459</v>
      </c>
      <c r="J77" s="3">
        <v>434.92128773462235</v>
      </c>
      <c r="K77" s="3">
        <v>393.67489211537543</v>
      </c>
    </row>
    <row r="78" spans="2:11" x14ac:dyDescent="0.3">
      <c r="B78" s="3" t="s">
        <v>96</v>
      </c>
      <c r="C78" s="3" t="s">
        <v>3</v>
      </c>
      <c r="D78" s="3">
        <v>31</v>
      </c>
      <c r="E78" s="3" t="s">
        <v>5</v>
      </c>
      <c r="F78" s="3" t="s">
        <v>9</v>
      </c>
      <c r="G78" s="3" t="s">
        <v>13</v>
      </c>
      <c r="H78" s="3">
        <v>570.71297568070167</v>
      </c>
      <c r="I78" s="3">
        <v>510.79912189422532</v>
      </c>
      <c r="J78" s="3">
        <v>459.80776319775384</v>
      </c>
      <c r="K78" s="3">
        <v>416.15693960462835</v>
      </c>
    </row>
    <row r="79" spans="2:11" x14ac:dyDescent="0.3">
      <c r="B79" s="3" t="s">
        <v>97</v>
      </c>
      <c r="C79" s="3" t="s">
        <v>3</v>
      </c>
      <c r="D79" s="3">
        <v>32</v>
      </c>
      <c r="E79" s="3" t="s">
        <v>6</v>
      </c>
      <c r="F79" s="3" t="s">
        <v>8</v>
      </c>
      <c r="G79" s="3" t="s">
        <v>13</v>
      </c>
      <c r="H79" s="3">
        <v>660.46631994996756</v>
      </c>
      <c r="I79" s="3">
        <v>590.9714735207474</v>
      </c>
      <c r="J79" s="3">
        <v>531.83794845811622</v>
      </c>
      <c r="K79" s="3">
        <v>481.22738907876976</v>
      </c>
    </row>
    <row r="80" spans="2:11" x14ac:dyDescent="0.3">
      <c r="B80" s="3" t="s">
        <v>98</v>
      </c>
      <c r="C80" s="3" t="s">
        <v>3</v>
      </c>
      <c r="D80" s="3">
        <v>43</v>
      </c>
      <c r="E80" s="3" t="s">
        <v>7</v>
      </c>
      <c r="F80" s="3" t="s">
        <v>5</v>
      </c>
      <c r="G80" s="3" t="s">
        <v>13</v>
      </c>
      <c r="H80" s="3">
        <v>678.03064682350782</v>
      </c>
      <c r="I80" s="3">
        <v>603.48095533951482</v>
      </c>
      <c r="J80" s="3">
        <v>540.19689923615113</v>
      </c>
      <c r="K80" s="3">
        <v>486.17017408831992</v>
      </c>
    </row>
    <row r="81" spans="2:11" x14ac:dyDescent="0.3">
      <c r="B81" s="3" t="s">
        <v>99</v>
      </c>
      <c r="C81" s="3" t="s">
        <v>2</v>
      </c>
      <c r="D81" s="3">
        <v>38</v>
      </c>
      <c r="E81" s="3" t="s">
        <v>6</v>
      </c>
      <c r="F81" s="3" t="s">
        <v>6</v>
      </c>
      <c r="G81" s="3" t="s">
        <v>12</v>
      </c>
      <c r="H81" s="3">
        <v>704.23198393655048</v>
      </c>
      <c r="I81" s="3">
        <v>621.00779883735424</v>
      </c>
      <c r="J81" s="3">
        <v>551.15279141911742</v>
      </c>
      <c r="K81" s="3">
        <v>492.170806334975</v>
      </c>
    </row>
    <row r="82" spans="2:11" x14ac:dyDescent="0.3">
      <c r="B82" s="3" t="s">
        <v>100</v>
      </c>
      <c r="C82" s="3" t="s">
        <v>3</v>
      </c>
      <c r="D82" s="3">
        <v>26</v>
      </c>
      <c r="E82" s="3" t="s">
        <v>6</v>
      </c>
      <c r="F82" s="3" t="s">
        <v>6</v>
      </c>
      <c r="G82" s="3" t="s">
        <v>12</v>
      </c>
      <c r="H82" s="3">
        <v>583.62219330508685</v>
      </c>
      <c r="I82" s="3">
        <v>522.324910960088</v>
      </c>
      <c r="J82" s="3">
        <v>470.15828174104684</v>
      </c>
      <c r="K82" s="3">
        <v>425.50320951482024</v>
      </c>
    </row>
    <row r="83" spans="2:11" x14ac:dyDescent="0.3">
      <c r="B83" s="3" t="s">
        <v>101</v>
      </c>
      <c r="C83" s="3" t="s">
        <v>3</v>
      </c>
      <c r="D83" s="3">
        <v>42</v>
      </c>
      <c r="E83" s="3" t="s">
        <v>7</v>
      </c>
      <c r="F83" s="3" t="s">
        <v>9</v>
      </c>
      <c r="G83" s="3" t="s">
        <v>13</v>
      </c>
      <c r="H83" s="3">
        <v>3538.5240087098841</v>
      </c>
      <c r="I83" s="3">
        <v>3071.712632061739</v>
      </c>
      <c r="J83" s="3">
        <v>2680.1963764631419</v>
      </c>
      <c r="K83" s="3">
        <v>2350.1609674069746</v>
      </c>
    </row>
    <row r="84" spans="2:11" x14ac:dyDescent="0.3">
      <c r="B84" s="3" t="s">
        <v>102</v>
      </c>
      <c r="C84" s="3" t="s">
        <v>2</v>
      </c>
      <c r="D84" s="3">
        <v>35</v>
      </c>
      <c r="E84" s="3" t="s">
        <v>5</v>
      </c>
      <c r="F84" s="3" t="s">
        <v>5</v>
      </c>
      <c r="G84" s="3" t="s">
        <v>13</v>
      </c>
      <c r="H84" s="3">
        <v>539.22795541368225</v>
      </c>
      <c r="I84" s="3">
        <v>482.67522774687848</v>
      </c>
      <c r="J84" s="3">
        <v>434.54022573119732</v>
      </c>
      <c r="K84" s="3">
        <v>393.33093947870066</v>
      </c>
    </row>
    <row r="85" spans="2:11" x14ac:dyDescent="0.3">
      <c r="B85" s="3" t="s">
        <v>103</v>
      </c>
      <c r="C85" s="3" t="s">
        <v>2</v>
      </c>
      <c r="D85" s="3">
        <v>27</v>
      </c>
      <c r="E85" s="3" t="s">
        <v>6</v>
      </c>
      <c r="F85" s="3" t="s">
        <v>8</v>
      </c>
      <c r="G85" s="3" t="s">
        <v>13</v>
      </c>
      <c r="H85" s="3">
        <v>613.88092325417028</v>
      </c>
      <c r="I85" s="3">
        <v>549.27160437677651</v>
      </c>
      <c r="J85" s="3">
        <v>494.29642547251819</v>
      </c>
      <c r="K85" s="3">
        <v>447.24591920936115</v>
      </c>
    </row>
    <row r="86" spans="2:11" x14ac:dyDescent="0.3">
      <c r="B86" s="3" t="s">
        <v>104</v>
      </c>
      <c r="C86" s="3" t="s">
        <v>2</v>
      </c>
      <c r="D86" s="3">
        <v>38</v>
      </c>
      <c r="E86" s="3" t="s">
        <v>5</v>
      </c>
      <c r="F86" s="3" t="s">
        <v>6</v>
      </c>
      <c r="G86" s="3" t="s">
        <v>13</v>
      </c>
      <c r="H86" s="3">
        <v>565.93586606730332</v>
      </c>
      <c r="I86" s="3">
        <v>505.02314905664747</v>
      </c>
      <c r="J86" s="3">
        <v>453.34055000680894</v>
      </c>
      <c r="K86" s="3">
        <v>409.23099622695514</v>
      </c>
    </row>
    <row r="87" spans="2:11" x14ac:dyDescent="0.3">
      <c r="B87" s="3" t="s">
        <v>105</v>
      </c>
      <c r="C87" s="3" t="s">
        <v>3</v>
      </c>
      <c r="D87" s="3">
        <v>38</v>
      </c>
      <c r="E87" s="3" t="s">
        <v>5</v>
      </c>
      <c r="F87" s="3" t="s">
        <v>7</v>
      </c>
      <c r="G87" s="3" t="s">
        <v>13</v>
      </c>
      <c r="H87" s="3">
        <v>635.91536514196616</v>
      </c>
      <c r="I87" s="3">
        <v>564.19349703101602</v>
      </c>
      <c r="J87" s="3">
        <v>503.67423818298977</v>
      </c>
      <c r="K87" s="3">
        <v>452.30403295744452</v>
      </c>
    </row>
    <row r="88" spans="2:11" x14ac:dyDescent="0.3">
      <c r="B88" s="3" t="s">
        <v>106</v>
      </c>
      <c r="C88" s="3" t="s">
        <v>3</v>
      </c>
      <c r="D88" s="3">
        <v>39</v>
      </c>
      <c r="E88" s="3" t="s">
        <v>7</v>
      </c>
      <c r="F88" s="3" t="s">
        <v>8</v>
      </c>
      <c r="G88" s="3" t="s">
        <v>12</v>
      </c>
      <c r="H88" s="3">
        <v>3116.1469755491321</v>
      </c>
      <c r="I88" s="3">
        <v>2663.2127952241872</v>
      </c>
      <c r="J88" s="3">
        <v>2289.5672368676228</v>
      </c>
      <c r="K88" s="3">
        <v>1979.7659031940802</v>
      </c>
    </row>
    <row r="89" spans="2:11" x14ac:dyDescent="0.3">
      <c r="B89" s="3" t="s">
        <v>107</v>
      </c>
      <c r="C89" s="3" t="s">
        <v>2</v>
      </c>
      <c r="D89" s="3">
        <v>39</v>
      </c>
      <c r="E89" s="3" t="s">
        <v>7</v>
      </c>
      <c r="F89" s="3" t="s">
        <v>6</v>
      </c>
      <c r="G89" s="3" t="s">
        <v>13</v>
      </c>
      <c r="H89" s="3">
        <v>961.48554889521597</v>
      </c>
      <c r="I89" s="3">
        <v>838.39284681425124</v>
      </c>
      <c r="J89" s="3">
        <v>735.71682841489644</v>
      </c>
      <c r="K89" s="3">
        <v>649.59329630065554</v>
      </c>
    </row>
    <row r="90" spans="2:11" x14ac:dyDescent="0.3">
      <c r="B90" s="3" t="s">
        <v>108</v>
      </c>
      <c r="C90" s="3" t="s">
        <v>3</v>
      </c>
      <c r="D90" s="3">
        <v>28</v>
      </c>
      <c r="E90" s="3" t="s">
        <v>6</v>
      </c>
      <c r="F90" s="3" t="s">
        <v>5</v>
      </c>
      <c r="G90" s="3" t="s">
        <v>12</v>
      </c>
      <c r="H90" s="3">
        <v>546.01039756020873</v>
      </c>
      <c r="I90" s="3">
        <v>488.73368965789967</v>
      </c>
      <c r="J90" s="3">
        <v>439.98342880284645</v>
      </c>
      <c r="K90" s="3">
        <v>398.24823144691175</v>
      </c>
    </row>
    <row r="91" spans="2:11" x14ac:dyDescent="0.3">
      <c r="B91" s="3" t="s">
        <v>109</v>
      </c>
      <c r="C91" s="3" t="s">
        <v>2</v>
      </c>
      <c r="D91" s="3">
        <v>41</v>
      </c>
      <c r="E91" s="3" t="s">
        <v>5</v>
      </c>
      <c r="F91" s="3" t="s">
        <v>9</v>
      </c>
      <c r="G91" s="3" t="s">
        <v>13</v>
      </c>
      <c r="H91" s="3">
        <v>744.85850588846881</v>
      </c>
      <c r="I91" s="3">
        <v>658.36727517948646</v>
      </c>
      <c r="J91" s="3">
        <v>585.35347611548139</v>
      </c>
      <c r="K91" s="3">
        <v>523.37217090937145</v>
      </c>
    </row>
    <row r="92" spans="2:11" x14ac:dyDescent="0.3">
      <c r="B92" s="3" t="s">
        <v>110</v>
      </c>
      <c r="C92" s="3" t="s">
        <v>2</v>
      </c>
      <c r="D92" s="3">
        <v>30</v>
      </c>
      <c r="E92" s="3" t="s">
        <v>7</v>
      </c>
      <c r="F92" s="3" t="s">
        <v>5</v>
      </c>
      <c r="G92" s="3" t="s">
        <v>13</v>
      </c>
      <c r="H92" s="3">
        <v>548.81158121211445</v>
      </c>
      <c r="I92" s="3">
        <v>491.2258799529904</v>
      </c>
      <c r="J92" s="3">
        <v>442.21377109463515</v>
      </c>
      <c r="K92" s="3">
        <v>400.25539070229962</v>
      </c>
    </row>
    <row r="93" spans="2:11" x14ac:dyDescent="0.3">
      <c r="B93" s="3" t="s">
        <v>111</v>
      </c>
      <c r="C93" s="3" t="s">
        <v>3</v>
      </c>
      <c r="D93" s="3">
        <v>43</v>
      </c>
      <c r="E93" s="3" t="s">
        <v>5</v>
      </c>
      <c r="F93" s="3" t="s">
        <v>9</v>
      </c>
      <c r="G93" s="3" t="s">
        <v>12</v>
      </c>
      <c r="H93" s="3">
        <v>963.3617389973673</v>
      </c>
      <c r="I93" s="3">
        <v>851.85937516082424</v>
      </c>
      <c r="J93" s="3">
        <v>757.46861082275063</v>
      </c>
      <c r="K93" s="3">
        <v>677.12141801604787</v>
      </c>
    </row>
    <row r="94" spans="2:11" x14ac:dyDescent="0.3">
      <c r="B94" s="3" t="s">
        <v>112</v>
      </c>
      <c r="C94" s="3" t="s">
        <v>2</v>
      </c>
      <c r="D94" s="3">
        <v>30</v>
      </c>
      <c r="E94" s="3" t="s">
        <v>5</v>
      </c>
      <c r="F94" s="3" t="s">
        <v>6</v>
      </c>
      <c r="G94" s="3" t="s">
        <v>13</v>
      </c>
      <c r="H94" s="3">
        <v>543.54411185278423</v>
      </c>
      <c r="I94" s="3">
        <v>486.5260495267483</v>
      </c>
      <c r="J94" s="3">
        <v>437.99593640949126</v>
      </c>
      <c r="K94" s="3">
        <v>396.4492124538254</v>
      </c>
    </row>
    <row r="95" spans="2:11" x14ac:dyDescent="0.3">
      <c r="B95" s="3" t="s">
        <v>113</v>
      </c>
      <c r="C95" s="3" t="s">
        <v>2</v>
      </c>
      <c r="D95" s="3">
        <v>36</v>
      </c>
      <c r="E95" s="3" t="s">
        <v>7</v>
      </c>
      <c r="F95" s="3" t="s">
        <v>9</v>
      </c>
      <c r="G95" s="3" t="s">
        <v>12</v>
      </c>
      <c r="H95" s="3">
        <v>1478.6860602531988</v>
      </c>
      <c r="I95" s="3">
        <v>1277.2600433349069</v>
      </c>
      <c r="J95" s="3">
        <v>1111.6014100160889</v>
      </c>
      <c r="K95" s="3">
        <v>974.49458522467137</v>
      </c>
    </row>
    <row r="96" spans="2:11" x14ac:dyDescent="0.3">
      <c r="B96" s="3" t="s">
        <v>114</v>
      </c>
      <c r="C96" s="3" t="s">
        <v>2</v>
      </c>
      <c r="D96" s="3">
        <v>27</v>
      </c>
      <c r="E96" s="3" t="s">
        <v>7</v>
      </c>
      <c r="F96" s="3" t="s">
        <v>7</v>
      </c>
      <c r="G96" s="3" t="s">
        <v>12</v>
      </c>
      <c r="H96" s="3">
        <v>828.46366129561522</v>
      </c>
      <c r="I96" s="3">
        <v>740.69747729324922</v>
      </c>
      <c r="J96" s="3">
        <v>666.06166787541497</v>
      </c>
      <c r="K96" s="3">
        <v>602.22175458838944</v>
      </c>
    </row>
    <row r="97" spans="2:11" x14ac:dyDescent="0.3">
      <c r="B97" s="3" t="s">
        <v>115</v>
      </c>
      <c r="C97" s="3" t="s">
        <v>2</v>
      </c>
      <c r="D97" s="3">
        <v>30</v>
      </c>
      <c r="E97" s="3" t="s">
        <v>6</v>
      </c>
      <c r="F97" s="3" t="s">
        <v>6</v>
      </c>
      <c r="G97" s="3" t="s">
        <v>12</v>
      </c>
      <c r="H97" s="3">
        <v>569.88145864943567</v>
      </c>
      <c r="I97" s="3">
        <v>510.02520165795875</v>
      </c>
      <c r="J97" s="3">
        <v>459.08510983521074</v>
      </c>
      <c r="K97" s="3">
        <v>415.48010369619635</v>
      </c>
    </row>
    <row r="98" spans="2:11" x14ac:dyDescent="0.3">
      <c r="B98" s="3" t="s">
        <v>116</v>
      </c>
      <c r="C98" s="3" t="s">
        <v>3</v>
      </c>
      <c r="D98" s="3">
        <v>45</v>
      </c>
      <c r="E98" s="3" t="s">
        <v>5</v>
      </c>
      <c r="F98" s="3" t="s">
        <v>7</v>
      </c>
      <c r="G98" s="3" t="s">
        <v>12</v>
      </c>
      <c r="H98" s="3">
        <v>957.92996647340726</v>
      </c>
      <c r="I98" s="3">
        <v>853.82018307951307</v>
      </c>
      <c r="J98" s="3">
        <v>765.30130045557667</v>
      </c>
      <c r="K98" s="3">
        <v>689.60564188265016</v>
      </c>
    </row>
    <row r="99" spans="2:11" x14ac:dyDescent="0.3">
      <c r="B99" s="3" t="s">
        <v>117</v>
      </c>
      <c r="C99" s="3" t="s">
        <v>2</v>
      </c>
      <c r="D99" s="3">
        <v>29</v>
      </c>
      <c r="E99" s="3" t="s">
        <v>5</v>
      </c>
      <c r="F99" s="3" t="s">
        <v>9</v>
      </c>
      <c r="G99" s="3" t="s">
        <v>13</v>
      </c>
      <c r="H99" s="3">
        <v>559.28193716374994</v>
      </c>
      <c r="I99" s="3">
        <v>500.56688509587275</v>
      </c>
      <c r="J99" s="3">
        <v>450.59589369204423</v>
      </c>
      <c r="K99" s="3">
        <v>407.81862935095825</v>
      </c>
    </row>
    <row r="100" spans="2:11" x14ac:dyDescent="0.3">
      <c r="B100" s="3" t="s">
        <v>118</v>
      </c>
      <c r="C100" s="3" t="s">
        <v>3</v>
      </c>
      <c r="D100" s="3">
        <v>37</v>
      </c>
      <c r="E100" s="3" t="s">
        <v>6</v>
      </c>
      <c r="F100" s="3" t="s">
        <v>6</v>
      </c>
      <c r="G100" s="3" t="s">
        <v>13</v>
      </c>
      <c r="H100" s="3">
        <v>629.64040355776604</v>
      </c>
      <c r="I100" s="3">
        <v>558.99790970253002</v>
      </c>
      <c r="J100" s="3">
        <v>499.40092246372762</v>
      </c>
      <c r="K100" s="3">
        <v>448.8171863798292</v>
      </c>
    </row>
    <row r="101" spans="2:11" x14ac:dyDescent="0.3">
      <c r="B101" s="3" t="s">
        <v>119</v>
      </c>
      <c r="C101" s="3" t="s">
        <v>3</v>
      </c>
      <c r="D101" s="3">
        <v>33</v>
      </c>
      <c r="E101" s="3" t="s">
        <v>7</v>
      </c>
      <c r="F101" s="3" t="s">
        <v>9</v>
      </c>
      <c r="G101" s="3" t="s">
        <v>12</v>
      </c>
      <c r="H101" s="3">
        <v>1134.9905581954845</v>
      </c>
      <c r="I101" s="3">
        <v>1014.8497357855979</v>
      </c>
      <c r="J101" s="3">
        <v>912.67536143958966</v>
      </c>
      <c r="K101" s="3">
        <v>825.273930427717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F9"/>
  <sheetViews>
    <sheetView workbookViewId="0">
      <selection activeCell="F18" sqref="F18"/>
    </sheetView>
  </sheetViews>
  <sheetFormatPr defaultRowHeight="14.4" x14ac:dyDescent="0.3"/>
  <cols>
    <col min="2" max="2" width="13.21875" customWidth="1"/>
    <col min="3" max="6" width="31.109375" customWidth="1"/>
    <col min="7" max="11" width="27.88671875" customWidth="1"/>
    <col min="12" max="23" width="3" customWidth="1"/>
    <col min="24" max="24" width="10.77734375" bestFit="1" customWidth="1"/>
  </cols>
  <sheetData>
    <row r="3" spans="2:6" x14ac:dyDescent="0.3">
      <c r="B3" s="17" t="s">
        <v>156</v>
      </c>
      <c r="C3" t="s">
        <v>158</v>
      </c>
      <c r="D3" t="s">
        <v>159</v>
      </c>
      <c r="E3" t="s">
        <v>160</v>
      </c>
      <c r="F3" t="s">
        <v>161</v>
      </c>
    </row>
    <row r="4" spans="2:6" x14ac:dyDescent="0.3">
      <c r="B4" s="18" t="s">
        <v>6</v>
      </c>
      <c r="C4" s="19">
        <v>699.61017853353815</v>
      </c>
      <c r="D4" s="19">
        <v>622.62222792127886</v>
      </c>
      <c r="E4" s="19">
        <v>557.36776158269743</v>
      </c>
      <c r="F4" s="19">
        <v>501.7363849390307</v>
      </c>
    </row>
    <row r="5" spans="2:6" x14ac:dyDescent="0.3">
      <c r="B5" s="18" t="s">
        <v>7</v>
      </c>
      <c r="C5" s="19">
        <v>884.97775979352662</v>
      </c>
      <c r="D5" s="19">
        <v>785.79704378507142</v>
      </c>
      <c r="E5" s="19">
        <v>701.75842386955651</v>
      </c>
      <c r="F5" s="19">
        <v>630.14512734295954</v>
      </c>
    </row>
    <row r="6" spans="2:6" x14ac:dyDescent="0.3">
      <c r="B6" s="18" t="s">
        <v>8</v>
      </c>
      <c r="C6" s="19">
        <v>1323.1161768985107</v>
      </c>
      <c r="D6" s="19">
        <v>1148.9172290556162</v>
      </c>
      <c r="E6" s="19">
        <v>1004.013364454075</v>
      </c>
      <c r="F6" s="19">
        <v>882.80403373551724</v>
      </c>
    </row>
    <row r="7" spans="2:6" x14ac:dyDescent="0.3">
      <c r="B7" s="18" t="s">
        <v>5</v>
      </c>
      <c r="C7" s="19">
        <v>579.5545095731369</v>
      </c>
      <c r="D7" s="19">
        <v>517.87134664418659</v>
      </c>
      <c r="E7" s="19">
        <v>465.42306789843576</v>
      </c>
      <c r="F7" s="19">
        <v>420.56814250407831</v>
      </c>
    </row>
    <row r="8" spans="2:6" x14ac:dyDescent="0.3">
      <c r="B8" s="18" t="s">
        <v>9</v>
      </c>
      <c r="C8" s="19">
        <v>1176.3992651699937</v>
      </c>
      <c r="D8" s="19">
        <v>1034.1303139217021</v>
      </c>
      <c r="E8" s="19">
        <v>914.4678363710334</v>
      </c>
      <c r="F8" s="19">
        <v>813.25275300840462</v>
      </c>
    </row>
    <row r="9" spans="2:6" x14ac:dyDescent="0.3">
      <c r="B9" s="18" t="s">
        <v>157</v>
      </c>
      <c r="C9" s="19">
        <v>886.05283902884298</v>
      </c>
      <c r="D9" s="19">
        <v>782.13119140432116</v>
      </c>
      <c r="E9" s="19">
        <v>694.5878215485335</v>
      </c>
      <c r="F9" s="19">
        <v>620.41679225801261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F15"/>
  <sheetViews>
    <sheetView workbookViewId="0">
      <selection activeCell="F9" sqref="F9"/>
    </sheetView>
  </sheetViews>
  <sheetFormatPr defaultRowHeight="14.4" x14ac:dyDescent="0.3"/>
  <cols>
    <col min="2" max="2" width="12.77734375" bestFit="1" customWidth="1"/>
    <col min="3" max="3" width="15.6640625" bestFit="1" customWidth="1"/>
    <col min="4" max="4" width="8.88671875" bestFit="1" customWidth="1"/>
    <col min="6" max="6" width="55.44140625" bestFit="1" customWidth="1"/>
  </cols>
  <sheetData>
    <row r="1" spans="2:6" x14ac:dyDescent="0.3">
      <c r="B1" s="1" t="s">
        <v>133</v>
      </c>
    </row>
    <row r="2" spans="2:6" x14ac:dyDescent="0.3">
      <c r="B2" s="16" t="s">
        <v>134</v>
      </c>
      <c r="C2" s="16" t="s">
        <v>135</v>
      </c>
      <c r="D2" s="16" t="s">
        <v>136</v>
      </c>
      <c r="F2" s="15" t="s">
        <v>147</v>
      </c>
    </row>
    <row r="3" spans="2:6" x14ac:dyDescent="0.3">
      <c r="B3" s="3" t="s">
        <v>137</v>
      </c>
      <c r="C3" s="14">
        <v>79903</v>
      </c>
      <c r="D3" s="3" t="s">
        <v>142</v>
      </c>
    </row>
    <row r="4" spans="2:6" x14ac:dyDescent="0.3">
      <c r="B4" s="3" t="s">
        <v>138</v>
      </c>
      <c r="C4" s="14">
        <v>24532</v>
      </c>
      <c r="D4" s="3" t="s">
        <v>143</v>
      </c>
      <c r="F4" t="s">
        <v>153</v>
      </c>
    </row>
    <row r="5" spans="2:6" x14ac:dyDescent="0.3">
      <c r="B5" s="3" t="s">
        <v>139</v>
      </c>
      <c r="C5" s="14">
        <v>53928</v>
      </c>
      <c r="D5" s="3" t="s">
        <v>144</v>
      </c>
      <c r="F5" t="s">
        <v>154</v>
      </c>
    </row>
    <row r="6" spans="2:6" x14ac:dyDescent="0.3">
      <c r="B6" s="3" t="s">
        <v>140</v>
      </c>
      <c r="C6" s="14">
        <v>38279</v>
      </c>
      <c r="D6" s="3" t="s">
        <v>145</v>
      </c>
      <c r="F6" t="s">
        <v>155</v>
      </c>
    </row>
    <row r="7" spans="2:6" x14ac:dyDescent="0.3">
      <c r="B7" s="3" t="s">
        <v>141</v>
      </c>
      <c r="C7" s="14">
        <v>66352</v>
      </c>
      <c r="D7" s="3" t="s">
        <v>146</v>
      </c>
    </row>
    <row r="9" spans="2:6" x14ac:dyDescent="0.3">
      <c r="B9">
        <f>MATCH(66352,C3:C7,0)</f>
        <v>5</v>
      </c>
      <c r="C9" t="s">
        <v>148</v>
      </c>
    </row>
    <row r="10" spans="2:6" x14ac:dyDescent="0.3">
      <c r="B10">
        <f>MATCH(66352,B7:D7,0)</f>
        <v>2</v>
      </c>
      <c r="C10" t="s">
        <v>149</v>
      </c>
    </row>
    <row r="12" spans="2:6" x14ac:dyDescent="0.3">
      <c r="B12">
        <f>VLOOKUP("Bus",B3:D7,2,0)</f>
        <v>66352</v>
      </c>
      <c r="C12" t="s">
        <v>150</v>
      </c>
    </row>
    <row r="13" spans="2:6" x14ac:dyDescent="0.3">
      <c r="B13">
        <f>VLOOKUP("Bus",B3:D7,MATCH(C2,B2:D2,0),0)</f>
        <v>66352</v>
      </c>
      <c r="C13" t="s">
        <v>151</v>
      </c>
    </row>
    <row r="15" spans="2:6" x14ac:dyDescent="0.3">
      <c r="B15">
        <f>INDEX(B3:D7,MATCH("Bus",B3:B7,0),MATCH("Miles Driven",B2:D2,0))</f>
        <v>66352</v>
      </c>
      <c r="C15" t="s">
        <v>152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101"/>
  <sheetViews>
    <sheetView workbookViewId="0">
      <selection activeCell="R12" sqref="R12"/>
    </sheetView>
  </sheetViews>
  <sheetFormatPr defaultRowHeight="14.4" x14ac:dyDescent="0.3"/>
  <cols>
    <col min="2" max="2" width="17.6640625" bestFit="1" customWidth="1"/>
    <col min="3" max="3" width="7.109375" bestFit="1" customWidth="1"/>
    <col min="4" max="4" width="4.21875" bestFit="1" customWidth="1"/>
    <col min="5" max="6" width="12.77734375" bestFit="1" customWidth="1"/>
    <col min="7" max="7" width="13.33203125" bestFit="1" customWidth="1"/>
    <col min="8" max="13" width="0" hidden="1" customWidth="1"/>
    <col min="14" max="14" width="13.21875" hidden="1" customWidth="1"/>
    <col min="15" max="15" width="0" hidden="1" customWidth="1"/>
  </cols>
  <sheetData>
    <row r="1" spans="2:15" x14ac:dyDescent="0.3">
      <c r="B1" s="1" t="s">
        <v>16</v>
      </c>
      <c r="C1" s="1" t="s">
        <v>0</v>
      </c>
      <c r="D1" s="1" t="s">
        <v>1</v>
      </c>
      <c r="E1" s="1" t="s">
        <v>17</v>
      </c>
      <c r="F1" s="1" t="s">
        <v>18</v>
      </c>
      <c r="G1" s="1" t="s">
        <v>19</v>
      </c>
    </row>
    <row r="2" spans="2:15" x14ac:dyDescent="0.3">
      <c r="B2" t="s">
        <v>20</v>
      </c>
      <c r="C2" t="str">
        <f ca="1">IF(H2=1,"M","F")</f>
        <v>F</v>
      </c>
      <c r="D2">
        <f ca="1">RANDBETWEEN(25,45)</f>
        <v>41</v>
      </c>
      <c r="E2" t="str">
        <f ca="1">IF(I2=1,"Excellent",IF(I2=2,"Above Average","Average"))</f>
        <v>Above Average</v>
      </c>
      <c r="F2" t="str">
        <f ca="1">IF(J2=1,"Excellent",IF(J2=2,"Above Average",IF(J2=3,"Average",IF(J2=4,"Below Average","Poor"))))</f>
        <v>Below Average</v>
      </c>
      <c r="G2" t="str">
        <f ca="1">IF(RANDBETWEEN(1,2)=1,"Yes","No")</f>
        <v>No</v>
      </c>
      <c r="H2">
        <f ca="1">RANDBETWEEN(1,2)</f>
        <v>2</v>
      </c>
      <c r="I2">
        <f ca="1">RANDBETWEEN(1,3)</f>
        <v>2</v>
      </c>
      <c r="J2">
        <f ca="1">RANDBETWEEN(1,5)</f>
        <v>4</v>
      </c>
      <c r="N2" t="s">
        <v>3</v>
      </c>
      <c r="O2">
        <v>1</v>
      </c>
    </row>
    <row r="3" spans="2:15" x14ac:dyDescent="0.3">
      <c r="B3" t="s">
        <v>21</v>
      </c>
      <c r="C3" t="str">
        <f t="shared" ref="C3:C66" ca="1" si="0">IF(H3=1,"M","F")</f>
        <v>M</v>
      </c>
      <c r="D3">
        <f t="shared" ref="D3:D66" ca="1" si="1">RANDBETWEEN(25,45)</f>
        <v>33</v>
      </c>
      <c r="E3" t="str">
        <f t="shared" ref="E3:E66" ca="1" si="2">IF(I3=1,"Excellent",IF(I3=2,"Above Average","Average"))</f>
        <v>Average</v>
      </c>
      <c r="F3" t="str">
        <f t="shared" ref="F3:F66" ca="1" si="3">IF(J3=1,"Excellent",IF(J3=2,"Above Average",IF(J3=3,"Average",IF(J3=4,"Below Average","Poor"))))</f>
        <v>Poor</v>
      </c>
      <c r="G3" t="str">
        <f t="shared" ref="G3:G66" ca="1" si="4">IF(RANDBETWEEN(1,2)=1,"Yes","No")</f>
        <v>Yes</v>
      </c>
      <c r="H3">
        <f t="shared" ref="H3:H66" ca="1" si="5">RANDBETWEEN(1,2)</f>
        <v>1</v>
      </c>
      <c r="I3">
        <f t="shared" ref="I3:I66" ca="1" si="6">RANDBETWEEN(1,3)</f>
        <v>3</v>
      </c>
      <c r="J3">
        <f t="shared" ref="J3:J66" ca="1" si="7">RANDBETWEEN(1,5)</f>
        <v>5</v>
      </c>
      <c r="N3" t="s">
        <v>2</v>
      </c>
      <c r="O3">
        <v>2</v>
      </c>
    </row>
    <row r="4" spans="2:15" x14ac:dyDescent="0.3">
      <c r="B4" t="s">
        <v>22</v>
      </c>
      <c r="C4" t="str">
        <f t="shared" ca="1" si="0"/>
        <v>M</v>
      </c>
      <c r="D4">
        <f t="shared" ca="1" si="1"/>
        <v>35</v>
      </c>
      <c r="E4" t="str">
        <f t="shared" ca="1" si="2"/>
        <v>Above Average</v>
      </c>
      <c r="F4" t="str">
        <f t="shared" ca="1" si="3"/>
        <v>Average</v>
      </c>
      <c r="G4" t="str">
        <f t="shared" ca="1" si="4"/>
        <v>Yes</v>
      </c>
      <c r="H4">
        <f t="shared" ca="1" si="5"/>
        <v>1</v>
      </c>
      <c r="I4">
        <f t="shared" ca="1" si="6"/>
        <v>2</v>
      </c>
      <c r="J4">
        <f t="shared" ca="1" si="7"/>
        <v>3</v>
      </c>
    </row>
    <row r="5" spans="2:15" x14ac:dyDescent="0.3">
      <c r="B5" t="s">
        <v>23</v>
      </c>
      <c r="C5" t="str">
        <f t="shared" ca="1" si="0"/>
        <v>F</v>
      </c>
      <c r="D5">
        <f t="shared" ca="1" si="1"/>
        <v>29</v>
      </c>
      <c r="E5" t="str">
        <f t="shared" ca="1" si="2"/>
        <v>Above Average</v>
      </c>
      <c r="F5" t="str">
        <f t="shared" ca="1" si="3"/>
        <v>Average</v>
      </c>
      <c r="G5" t="str">
        <f t="shared" ca="1" si="4"/>
        <v>Yes</v>
      </c>
      <c r="H5">
        <f t="shared" ca="1" si="5"/>
        <v>2</v>
      </c>
      <c r="I5">
        <f t="shared" ca="1" si="6"/>
        <v>2</v>
      </c>
      <c r="J5">
        <f t="shared" ca="1" si="7"/>
        <v>3</v>
      </c>
      <c r="N5" s="7" t="s">
        <v>5</v>
      </c>
      <c r="O5">
        <v>1</v>
      </c>
    </row>
    <row r="6" spans="2:15" x14ac:dyDescent="0.3">
      <c r="B6" t="s">
        <v>24</v>
      </c>
      <c r="C6" t="str">
        <f t="shared" ca="1" si="0"/>
        <v>F</v>
      </c>
      <c r="D6">
        <f t="shared" ca="1" si="1"/>
        <v>25</v>
      </c>
      <c r="E6" t="str">
        <f t="shared" ca="1" si="2"/>
        <v>Excellent</v>
      </c>
      <c r="F6" t="str">
        <f t="shared" ca="1" si="3"/>
        <v>Poor</v>
      </c>
      <c r="G6" t="str">
        <f t="shared" ca="1" si="4"/>
        <v>Yes</v>
      </c>
      <c r="H6">
        <f t="shared" ca="1" si="5"/>
        <v>2</v>
      </c>
      <c r="I6">
        <f t="shared" ca="1" si="6"/>
        <v>1</v>
      </c>
      <c r="J6">
        <f t="shared" ca="1" si="7"/>
        <v>5</v>
      </c>
      <c r="N6" s="7" t="s">
        <v>6</v>
      </c>
      <c r="O6">
        <v>2</v>
      </c>
    </row>
    <row r="7" spans="2:15" x14ac:dyDescent="0.3">
      <c r="B7" t="s">
        <v>25</v>
      </c>
      <c r="C7" t="str">
        <f t="shared" ca="1" si="0"/>
        <v>F</v>
      </c>
      <c r="D7">
        <f t="shared" ca="1" si="1"/>
        <v>40</v>
      </c>
      <c r="E7" t="str">
        <f t="shared" ca="1" si="2"/>
        <v>Excellent</v>
      </c>
      <c r="F7" t="str">
        <f t="shared" ca="1" si="3"/>
        <v>Above Average</v>
      </c>
      <c r="G7" t="str">
        <f t="shared" ca="1" si="4"/>
        <v>No</v>
      </c>
      <c r="H7">
        <f t="shared" ca="1" si="5"/>
        <v>2</v>
      </c>
      <c r="I7">
        <f t="shared" ca="1" si="6"/>
        <v>1</v>
      </c>
      <c r="J7">
        <f t="shared" ca="1" si="7"/>
        <v>2</v>
      </c>
      <c r="N7" s="7" t="s">
        <v>7</v>
      </c>
      <c r="O7">
        <v>3</v>
      </c>
    </row>
    <row r="8" spans="2:15" x14ac:dyDescent="0.3">
      <c r="B8" t="s">
        <v>26</v>
      </c>
      <c r="C8" t="str">
        <f t="shared" ca="1" si="0"/>
        <v>M</v>
      </c>
      <c r="D8">
        <f t="shared" ca="1" si="1"/>
        <v>35</v>
      </c>
      <c r="E8" t="str">
        <f t="shared" ca="1" si="2"/>
        <v>Above Average</v>
      </c>
      <c r="F8" t="str">
        <f t="shared" ca="1" si="3"/>
        <v>Average</v>
      </c>
      <c r="G8" t="str">
        <f t="shared" ca="1" si="4"/>
        <v>Yes</v>
      </c>
      <c r="H8">
        <f t="shared" ca="1" si="5"/>
        <v>1</v>
      </c>
      <c r="I8">
        <f t="shared" ca="1" si="6"/>
        <v>2</v>
      </c>
      <c r="J8">
        <f t="shared" ca="1" si="7"/>
        <v>3</v>
      </c>
      <c r="N8" s="7" t="s">
        <v>8</v>
      </c>
      <c r="O8">
        <v>4</v>
      </c>
    </row>
    <row r="9" spans="2:15" x14ac:dyDescent="0.3">
      <c r="B9" t="s">
        <v>27</v>
      </c>
      <c r="C9" t="str">
        <f t="shared" ca="1" si="0"/>
        <v>F</v>
      </c>
      <c r="D9">
        <f t="shared" ca="1" si="1"/>
        <v>44</v>
      </c>
      <c r="E9" t="str">
        <f t="shared" ca="1" si="2"/>
        <v>Average</v>
      </c>
      <c r="F9" t="str">
        <f t="shared" ca="1" si="3"/>
        <v>Below Average</v>
      </c>
      <c r="G9" t="str">
        <f t="shared" ca="1" si="4"/>
        <v>Yes</v>
      </c>
      <c r="H9">
        <f t="shared" ca="1" si="5"/>
        <v>2</v>
      </c>
      <c r="I9">
        <f t="shared" ca="1" si="6"/>
        <v>3</v>
      </c>
      <c r="J9">
        <f t="shared" ca="1" si="7"/>
        <v>4</v>
      </c>
      <c r="N9" s="7" t="s">
        <v>9</v>
      </c>
      <c r="O9">
        <v>5</v>
      </c>
    </row>
    <row r="10" spans="2:15" x14ac:dyDescent="0.3">
      <c r="B10" t="s">
        <v>28</v>
      </c>
      <c r="C10" t="str">
        <f t="shared" ca="1" si="0"/>
        <v>F</v>
      </c>
      <c r="D10">
        <f t="shared" ca="1" si="1"/>
        <v>34</v>
      </c>
      <c r="E10" t="str">
        <f t="shared" ca="1" si="2"/>
        <v>Above Average</v>
      </c>
      <c r="F10" t="str">
        <f t="shared" ca="1" si="3"/>
        <v>Above Average</v>
      </c>
      <c r="G10" t="str">
        <f t="shared" ca="1" si="4"/>
        <v>No</v>
      </c>
      <c r="H10">
        <f t="shared" ca="1" si="5"/>
        <v>2</v>
      </c>
      <c r="I10">
        <f t="shared" ca="1" si="6"/>
        <v>2</v>
      </c>
      <c r="J10">
        <f t="shared" ca="1" si="7"/>
        <v>2</v>
      </c>
    </row>
    <row r="11" spans="2:15" x14ac:dyDescent="0.3">
      <c r="B11" t="s">
        <v>29</v>
      </c>
      <c r="C11" t="str">
        <f t="shared" ca="1" si="0"/>
        <v>M</v>
      </c>
      <c r="D11">
        <f t="shared" ca="1" si="1"/>
        <v>40</v>
      </c>
      <c r="E11" t="str">
        <f t="shared" ca="1" si="2"/>
        <v>Average</v>
      </c>
      <c r="F11" t="str">
        <f t="shared" ca="1" si="3"/>
        <v>Below Average</v>
      </c>
      <c r="G11" t="str">
        <f t="shared" ca="1" si="4"/>
        <v>Yes</v>
      </c>
      <c r="H11">
        <f t="shared" ca="1" si="5"/>
        <v>1</v>
      </c>
      <c r="I11">
        <f t="shared" ca="1" si="6"/>
        <v>3</v>
      </c>
      <c r="J11">
        <f t="shared" ca="1" si="7"/>
        <v>4</v>
      </c>
    </row>
    <row r="12" spans="2:15" x14ac:dyDescent="0.3">
      <c r="B12" t="s">
        <v>30</v>
      </c>
      <c r="C12" t="str">
        <f t="shared" ca="1" si="0"/>
        <v>M</v>
      </c>
      <c r="D12">
        <f t="shared" ca="1" si="1"/>
        <v>34</v>
      </c>
      <c r="E12" t="str">
        <f t="shared" ca="1" si="2"/>
        <v>Excellent</v>
      </c>
      <c r="F12" t="str">
        <f t="shared" ca="1" si="3"/>
        <v>Below Average</v>
      </c>
      <c r="G12" t="str">
        <f t="shared" ca="1" si="4"/>
        <v>Yes</v>
      </c>
      <c r="H12">
        <f t="shared" ca="1" si="5"/>
        <v>1</v>
      </c>
      <c r="I12">
        <f t="shared" ca="1" si="6"/>
        <v>1</v>
      </c>
      <c r="J12">
        <f t="shared" ca="1" si="7"/>
        <v>4</v>
      </c>
    </row>
    <row r="13" spans="2:15" x14ac:dyDescent="0.3">
      <c r="B13" t="s">
        <v>31</v>
      </c>
      <c r="C13" t="str">
        <f t="shared" ca="1" si="0"/>
        <v>M</v>
      </c>
      <c r="D13">
        <f t="shared" ca="1" si="1"/>
        <v>25</v>
      </c>
      <c r="E13" t="str">
        <f t="shared" ca="1" si="2"/>
        <v>Excellent</v>
      </c>
      <c r="F13" t="str">
        <f t="shared" ca="1" si="3"/>
        <v>Excellent</v>
      </c>
      <c r="G13" t="str">
        <f t="shared" ca="1" si="4"/>
        <v>Yes</v>
      </c>
      <c r="H13">
        <f t="shared" ca="1" si="5"/>
        <v>1</v>
      </c>
      <c r="I13">
        <f t="shared" ca="1" si="6"/>
        <v>1</v>
      </c>
      <c r="J13">
        <f t="shared" ca="1" si="7"/>
        <v>1</v>
      </c>
    </row>
    <row r="14" spans="2:15" x14ac:dyDescent="0.3">
      <c r="B14" t="s">
        <v>32</v>
      </c>
      <c r="C14" t="str">
        <f t="shared" ca="1" si="0"/>
        <v>F</v>
      </c>
      <c r="D14">
        <f t="shared" ca="1" si="1"/>
        <v>43</v>
      </c>
      <c r="E14" t="str">
        <f t="shared" ca="1" si="2"/>
        <v>Above Average</v>
      </c>
      <c r="F14" t="str">
        <f t="shared" ca="1" si="3"/>
        <v>Excellent</v>
      </c>
      <c r="G14" t="str">
        <f t="shared" ca="1" si="4"/>
        <v>Yes</v>
      </c>
      <c r="H14">
        <f t="shared" ca="1" si="5"/>
        <v>2</v>
      </c>
      <c r="I14">
        <f t="shared" ca="1" si="6"/>
        <v>2</v>
      </c>
      <c r="J14">
        <f t="shared" ca="1" si="7"/>
        <v>1</v>
      </c>
    </row>
    <row r="15" spans="2:15" x14ac:dyDescent="0.3">
      <c r="B15" t="s">
        <v>33</v>
      </c>
      <c r="C15" t="str">
        <f t="shared" ca="1" si="0"/>
        <v>F</v>
      </c>
      <c r="D15">
        <f t="shared" ca="1" si="1"/>
        <v>28</v>
      </c>
      <c r="E15" t="str">
        <f t="shared" ca="1" si="2"/>
        <v>Above Average</v>
      </c>
      <c r="F15" t="str">
        <f t="shared" ca="1" si="3"/>
        <v>Average</v>
      </c>
      <c r="G15" t="str">
        <f t="shared" ca="1" si="4"/>
        <v>Yes</v>
      </c>
      <c r="H15">
        <f t="shared" ca="1" si="5"/>
        <v>2</v>
      </c>
      <c r="I15">
        <f t="shared" ca="1" si="6"/>
        <v>2</v>
      </c>
      <c r="J15">
        <f t="shared" ca="1" si="7"/>
        <v>3</v>
      </c>
    </row>
    <row r="16" spans="2:15" x14ac:dyDescent="0.3">
      <c r="B16" t="s">
        <v>34</v>
      </c>
      <c r="C16" t="str">
        <f t="shared" ca="1" si="0"/>
        <v>F</v>
      </c>
      <c r="D16">
        <f t="shared" ca="1" si="1"/>
        <v>30</v>
      </c>
      <c r="E16" t="str">
        <f t="shared" ca="1" si="2"/>
        <v>Above Average</v>
      </c>
      <c r="F16" t="str">
        <f t="shared" ca="1" si="3"/>
        <v>Poor</v>
      </c>
      <c r="G16" t="str">
        <f t="shared" ca="1" si="4"/>
        <v>No</v>
      </c>
      <c r="H16">
        <f t="shared" ca="1" si="5"/>
        <v>2</v>
      </c>
      <c r="I16">
        <f t="shared" ca="1" si="6"/>
        <v>2</v>
      </c>
      <c r="J16">
        <f t="shared" ca="1" si="7"/>
        <v>5</v>
      </c>
    </row>
    <row r="17" spans="2:10" x14ac:dyDescent="0.3">
      <c r="B17" t="s">
        <v>35</v>
      </c>
      <c r="C17" t="str">
        <f t="shared" ca="1" si="0"/>
        <v>F</v>
      </c>
      <c r="D17">
        <f t="shared" ca="1" si="1"/>
        <v>42</v>
      </c>
      <c r="E17" t="str">
        <f t="shared" ca="1" si="2"/>
        <v>Excellent</v>
      </c>
      <c r="F17" t="str">
        <f t="shared" ca="1" si="3"/>
        <v>Poor</v>
      </c>
      <c r="G17" t="str">
        <f t="shared" ca="1" si="4"/>
        <v>Yes</v>
      </c>
      <c r="H17">
        <f t="shared" ca="1" si="5"/>
        <v>2</v>
      </c>
      <c r="I17">
        <f t="shared" ca="1" si="6"/>
        <v>1</v>
      </c>
      <c r="J17">
        <f t="shared" ca="1" si="7"/>
        <v>5</v>
      </c>
    </row>
    <row r="18" spans="2:10" x14ac:dyDescent="0.3">
      <c r="B18" t="s">
        <v>36</v>
      </c>
      <c r="C18" t="str">
        <f t="shared" ca="1" si="0"/>
        <v>M</v>
      </c>
      <c r="D18">
        <f t="shared" ca="1" si="1"/>
        <v>40</v>
      </c>
      <c r="E18" t="str">
        <f t="shared" ca="1" si="2"/>
        <v>Above Average</v>
      </c>
      <c r="F18" t="str">
        <f t="shared" ca="1" si="3"/>
        <v>Excellent</v>
      </c>
      <c r="G18" t="str">
        <f t="shared" ca="1" si="4"/>
        <v>Yes</v>
      </c>
      <c r="H18">
        <f t="shared" ca="1" si="5"/>
        <v>1</v>
      </c>
      <c r="I18">
        <f t="shared" ca="1" si="6"/>
        <v>2</v>
      </c>
      <c r="J18">
        <f t="shared" ca="1" si="7"/>
        <v>1</v>
      </c>
    </row>
    <row r="19" spans="2:10" x14ac:dyDescent="0.3">
      <c r="B19" t="s">
        <v>37</v>
      </c>
      <c r="C19" t="str">
        <f t="shared" ca="1" si="0"/>
        <v>F</v>
      </c>
      <c r="D19">
        <f t="shared" ca="1" si="1"/>
        <v>37</v>
      </c>
      <c r="E19" t="str">
        <f t="shared" ca="1" si="2"/>
        <v>Above Average</v>
      </c>
      <c r="F19" t="str">
        <f t="shared" ca="1" si="3"/>
        <v>Excellent</v>
      </c>
      <c r="G19" t="str">
        <f t="shared" ca="1" si="4"/>
        <v>Yes</v>
      </c>
      <c r="H19">
        <f t="shared" ca="1" si="5"/>
        <v>2</v>
      </c>
      <c r="I19">
        <f t="shared" ca="1" si="6"/>
        <v>2</v>
      </c>
      <c r="J19">
        <f t="shared" ca="1" si="7"/>
        <v>1</v>
      </c>
    </row>
    <row r="20" spans="2:10" x14ac:dyDescent="0.3">
      <c r="B20" t="s">
        <v>38</v>
      </c>
      <c r="C20" t="str">
        <f t="shared" ca="1" si="0"/>
        <v>F</v>
      </c>
      <c r="D20">
        <f t="shared" ca="1" si="1"/>
        <v>34</v>
      </c>
      <c r="E20" t="str">
        <f t="shared" ca="1" si="2"/>
        <v>Excellent</v>
      </c>
      <c r="F20" t="str">
        <f t="shared" ca="1" si="3"/>
        <v>Average</v>
      </c>
      <c r="G20" t="str">
        <f t="shared" ca="1" si="4"/>
        <v>No</v>
      </c>
      <c r="H20">
        <f t="shared" ca="1" si="5"/>
        <v>2</v>
      </c>
      <c r="I20">
        <f t="shared" ca="1" si="6"/>
        <v>1</v>
      </c>
      <c r="J20">
        <f t="shared" ca="1" si="7"/>
        <v>3</v>
      </c>
    </row>
    <row r="21" spans="2:10" x14ac:dyDescent="0.3">
      <c r="B21" t="s">
        <v>39</v>
      </c>
      <c r="C21" t="str">
        <f t="shared" ca="1" si="0"/>
        <v>M</v>
      </c>
      <c r="D21">
        <f t="shared" ca="1" si="1"/>
        <v>36</v>
      </c>
      <c r="E21" t="str">
        <f t="shared" ca="1" si="2"/>
        <v>Excellent</v>
      </c>
      <c r="F21" t="str">
        <f t="shared" ca="1" si="3"/>
        <v>Excellent</v>
      </c>
      <c r="G21" t="str">
        <f t="shared" ca="1" si="4"/>
        <v>Yes</v>
      </c>
      <c r="H21">
        <f t="shared" ca="1" si="5"/>
        <v>1</v>
      </c>
      <c r="I21">
        <f t="shared" ca="1" si="6"/>
        <v>1</v>
      </c>
      <c r="J21">
        <f t="shared" ca="1" si="7"/>
        <v>1</v>
      </c>
    </row>
    <row r="22" spans="2:10" x14ac:dyDescent="0.3">
      <c r="B22" t="s">
        <v>40</v>
      </c>
      <c r="C22" t="str">
        <f t="shared" ca="1" si="0"/>
        <v>F</v>
      </c>
      <c r="D22">
        <f t="shared" ca="1" si="1"/>
        <v>26</v>
      </c>
      <c r="E22" t="str">
        <f t="shared" ca="1" si="2"/>
        <v>Above Average</v>
      </c>
      <c r="F22" t="str">
        <f t="shared" ca="1" si="3"/>
        <v>Average</v>
      </c>
      <c r="G22" t="str">
        <f t="shared" ca="1" si="4"/>
        <v>Yes</v>
      </c>
      <c r="H22">
        <f t="shared" ca="1" si="5"/>
        <v>2</v>
      </c>
      <c r="I22">
        <f t="shared" ca="1" si="6"/>
        <v>2</v>
      </c>
      <c r="J22">
        <f t="shared" ca="1" si="7"/>
        <v>3</v>
      </c>
    </row>
    <row r="23" spans="2:10" x14ac:dyDescent="0.3">
      <c r="B23" t="s">
        <v>41</v>
      </c>
      <c r="C23" t="str">
        <f t="shared" ca="1" si="0"/>
        <v>M</v>
      </c>
      <c r="D23">
        <f t="shared" ca="1" si="1"/>
        <v>41</v>
      </c>
      <c r="E23" t="str">
        <f t="shared" ca="1" si="2"/>
        <v>Average</v>
      </c>
      <c r="F23" t="str">
        <f t="shared" ca="1" si="3"/>
        <v>Excellent</v>
      </c>
      <c r="G23" t="str">
        <f t="shared" ca="1" si="4"/>
        <v>No</v>
      </c>
      <c r="H23">
        <f t="shared" ca="1" si="5"/>
        <v>1</v>
      </c>
      <c r="I23">
        <f t="shared" ca="1" si="6"/>
        <v>3</v>
      </c>
      <c r="J23">
        <f t="shared" ca="1" si="7"/>
        <v>1</v>
      </c>
    </row>
    <row r="24" spans="2:10" x14ac:dyDescent="0.3">
      <c r="B24" t="s">
        <v>42</v>
      </c>
      <c r="C24" t="str">
        <f t="shared" ca="1" si="0"/>
        <v>F</v>
      </c>
      <c r="D24">
        <f t="shared" ca="1" si="1"/>
        <v>29</v>
      </c>
      <c r="E24" t="str">
        <f t="shared" ca="1" si="2"/>
        <v>Excellent</v>
      </c>
      <c r="F24" t="str">
        <f t="shared" ca="1" si="3"/>
        <v>Average</v>
      </c>
      <c r="G24" t="str">
        <f t="shared" ca="1" si="4"/>
        <v>No</v>
      </c>
      <c r="H24">
        <f t="shared" ca="1" si="5"/>
        <v>2</v>
      </c>
      <c r="I24">
        <f t="shared" ca="1" si="6"/>
        <v>1</v>
      </c>
      <c r="J24">
        <f t="shared" ca="1" si="7"/>
        <v>3</v>
      </c>
    </row>
    <row r="25" spans="2:10" x14ac:dyDescent="0.3">
      <c r="B25" t="s">
        <v>43</v>
      </c>
      <c r="C25" t="str">
        <f t="shared" ca="1" si="0"/>
        <v>F</v>
      </c>
      <c r="D25">
        <f t="shared" ca="1" si="1"/>
        <v>30</v>
      </c>
      <c r="E25" t="str">
        <f t="shared" ca="1" si="2"/>
        <v>Excellent</v>
      </c>
      <c r="F25" t="str">
        <f t="shared" ca="1" si="3"/>
        <v>Below Average</v>
      </c>
      <c r="G25" t="str">
        <f t="shared" ca="1" si="4"/>
        <v>Yes</v>
      </c>
      <c r="H25">
        <f t="shared" ca="1" si="5"/>
        <v>2</v>
      </c>
      <c r="I25">
        <f t="shared" ca="1" si="6"/>
        <v>1</v>
      </c>
      <c r="J25">
        <f t="shared" ca="1" si="7"/>
        <v>4</v>
      </c>
    </row>
    <row r="26" spans="2:10" x14ac:dyDescent="0.3">
      <c r="B26" t="s">
        <v>44</v>
      </c>
      <c r="C26" t="str">
        <f t="shared" ca="1" si="0"/>
        <v>M</v>
      </c>
      <c r="D26">
        <f t="shared" ca="1" si="1"/>
        <v>33</v>
      </c>
      <c r="E26" t="str">
        <f t="shared" ca="1" si="2"/>
        <v>Average</v>
      </c>
      <c r="F26" t="str">
        <f t="shared" ca="1" si="3"/>
        <v>Excellent</v>
      </c>
      <c r="G26" t="str">
        <f t="shared" ca="1" si="4"/>
        <v>No</v>
      </c>
      <c r="H26">
        <f t="shared" ca="1" si="5"/>
        <v>1</v>
      </c>
      <c r="I26">
        <f t="shared" ca="1" si="6"/>
        <v>3</v>
      </c>
      <c r="J26">
        <f t="shared" ca="1" si="7"/>
        <v>1</v>
      </c>
    </row>
    <row r="27" spans="2:10" x14ac:dyDescent="0.3">
      <c r="B27" t="s">
        <v>45</v>
      </c>
      <c r="C27" t="str">
        <f t="shared" ca="1" si="0"/>
        <v>F</v>
      </c>
      <c r="D27">
        <f t="shared" ca="1" si="1"/>
        <v>35</v>
      </c>
      <c r="E27" t="str">
        <f t="shared" ca="1" si="2"/>
        <v>Average</v>
      </c>
      <c r="F27" t="str">
        <f t="shared" ca="1" si="3"/>
        <v>Excellent</v>
      </c>
      <c r="G27" t="str">
        <f t="shared" ca="1" si="4"/>
        <v>No</v>
      </c>
      <c r="H27">
        <f t="shared" ca="1" si="5"/>
        <v>2</v>
      </c>
      <c r="I27">
        <f t="shared" ca="1" si="6"/>
        <v>3</v>
      </c>
      <c r="J27">
        <f t="shared" ca="1" si="7"/>
        <v>1</v>
      </c>
    </row>
    <row r="28" spans="2:10" x14ac:dyDescent="0.3">
      <c r="B28" t="s">
        <v>46</v>
      </c>
      <c r="C28" t="str">
        <f t="shared" ca="1" si="0"/>
        <v>M</v>
      </c>
      <c r="D28">
        <f t="shared" ca="1" si="1"/>
        <v>38</v>
      </c>
      <c r="E28" t="str">
        <f t="shared" ca="1" si="2"/>
        <v>Excellent</v>
      </c>
      <c r="F28" t="str">
        <f t="shared" ca="1" si="3"/>
        <v>Above Average</v>
      </c>
      <c r="G28" t="str">
        <f t="shared" ca="1" si="4"/>
        <v>No</v>
      </c>
      <c r="H28">
        <f t="shared" ca="1" si="5"/>
        <v>1</v>
      </c>
      <c r="I28">
        <f t="shared" ca="1" si="6"/>
        <v>1</v>
      </c>
      <c r="J28">
        <f t="shared" ca="1" si="7"/>
        <v>2</v>
      </c>
    </row>
    <row r="29" spans="2:10" x14ac:dyDescent="0.3">
      <c r="B29" t="s">
        <v>47</v>
      </c>
      <c r="C29" t="str">
        <f t="shared" ca="1" si="0"/>
        <v>M</v>
      </c>
      <c r="D29">
        <f t="shared" ca="1" si="1"/>
        <v>31</v>
      </c>
      <c r="E29" t="str">
        <f t="shared" ca="1" si="2"/>
        <v>Excellent</v>
      </c>
      <c r="F29" t="str">
        <f t="shared" ca="1" si="3"/>
        <v>Below Average</v>
      </c>
      <c r="G29" t="str">
        <f t="shared" ca="1" si="4"/>
        <v>No</v>
      </c>
      <c r="H29">
        <f t="shared" ca="1" si="5"/>
        <v>1</v>
      </c>
      <c r="I29">
        <f t="shared" ca="1" si="6"/>
        <v>1</v>
      </c>
      <c r="J29">
        <f t="shared" ca="1" si="7"/>
        <v>4</v>
      </c>
    </row>
    <row r="30" spans="2:10" x14ac:dyDescent="0.3">
      <c r="B30" t="s">
        <v>48</v>
      </c>
      <c r="C30" t="str">
        <f t="shared" ca="1" si="0"/>
        <v>M</v>
      </c>
      <c r="D30">
        <f t="shared" ca="1" si="1"/>
        <v>42</v>
      </c>
      <c r="E30" t="str">
        <f t="shared" ca="1" si="2"/>
        <v>Above Average</v>
      </c>
      <c r="F30" t="str">
        <f t="shared" ca="1" si="3"/>
        <v>Below Average</v>
      </c>
      <c r="G30" t="str">
        <f t="shared" ca="1" si="4"/>
        <v>No</v>
      </c>
      <c r="H30">
        <f t="shared" ca="1" si="5"/>
        <v>1</v>
      </c>
      <c r="I30">
        <f t="shared" ca="1" si="6"/>
        <v>2</v>
      </c>
      <c r="J30">
        <f t="shared" ca="1" si="7"/>
        <v>4</v>
      </c>
    </row>
    <row r="31" spans="2:10" x14ac:dyDescent="0.3">
      <c r="B31" t="s">
        <v>49</v>
      </c>
      <c r="C31" t="str">
        <f t="shared" ca="1" si="0"/>
        <v>F</v>
      </c>
      <c r="D31">
        <f t="shared" ca="1" si="1"/>
        <v>28</v>
      </c>
      <c r="E31" t="str">
        <f t="shared" ca="1" si="2"/>
        <v>Excellent</v>
      </c>
      <c r="F31" t="str">
        <f t="shared" ca="1" si="3"/>
        <v>Average</v>
      </c>
      <c r="G31" t="str">
        <f t="shared" ca="1" si="4"/>
        <v>No</v>
      </c>
      <c r="H31">
        <f t="shared" ca="1" si="5"/>
        <v>2</v>
      </c>
      <c r="I31">
        <f t="shared" ca="1" si="6"/>
        <v>1</v>
      </c>
      <c r="J31">
        <f t="shared" ca="1" si="7"/>
        <v>3</v>
      </c>
    </row>
    <row r="32" spans="2:10" x14ac:dyDescent="0.3">
      <c r="B32" t="s">
        <v>50</v>
      </c>
      <c r="C32" t="str">
        <f t="shared" ca="1" si="0"/>
        <v>F</v>
      </c>
      <c r="D32">
        <f t="shared" ca="1" si="1"/>
        <v>44</v>
      </c>
      <c r="E32" t="str">
        <f t="shared" ca="1" si="2"/>
        <v>Average</v>
      </c>
      <c r="F32" t="str">
        <f t="shared" ca="1" si="3"/>
        <v>Below Average</v>
      </c>
      <c r="G32" t="str">
        <f t="shared" ca="1" si="4"/>
        <v>Yes</v>
      </c>
      <c r="H32">
        <f t="shared" ca="1" si="5"/>
        <v>2</v>
      </c>
      <c r="I32">
        <f t="shared" ca="1" si="6"/>
        <v>3</v>
      </c>
      <c r="J32">
        <f t="shared" ca="1" si="7"/>
        <v>4</v>
      </c>
    </row>
    <row r="33" spans="2:10" x14ac:dyDescent="0.3">
      <c r="B33" t="s">
        <v>51</v>
      </c>
      <c r="C33" t="str">
        <f t="shared" ca="1" si="0"/>
        <v>F</v>
      </c>
      <c r="D33">
        <f t="shared" ca="1" si="1"/>
        <v>30</v>
      </c>
      <c r="E33" t="str">
        <f t="shared" ca="1" si="2"/>
        <v>Average</v>
      </c>
      <c r="F33" t="str">
        <f t="shared" ca="1" si="3"/>
        <v>Average</v>
      </c>
      <c r="G33" t="str">
        <f t="shared" ca="1" si="4"/>
        <v>Yes</v>
      </c>
      <c r="H33">
        <f t="shared" ca="1" si="5"/>
        <v>2</v>
      </c>
      <c r="I33">
        <f t="shared" ca="1" si="6"/>
        <v>3</v>
      </c>
      <c r="J33">
        <f t="shared" ca="1" si="7"/>
        <v>3</v>
      </c>
    </row>
    <row r="34" spans="2:10" x14ac:dyDescent="0.3">
      <c r="B34" t="s">
        <v>52</v>
      </c>
      <c r="C34" t="str">
        <f t="shared" ca="1" si="0"/>
        <v>M</v>
      </c>
      <c r="D34">
        <f t="shared" ca="1" si="1"/>
        <v>29</v>
      </c>
      <c r="E34" t="str">
        <f t="shared" ca="1" si="2"/>
        <v>Excellent</v>
      </c>
      <c r="F34" t="str">
        <f t="shared" ca="1" si="3"/>
        <v>Poor</v>
      </c>
      <c r="G34" t="str">
        <f t="shared" ca="1" si="4"/>
        <v>Yes</v>
      </c>
      <c r="H34">
        <f t="shared" ca="1" si="5"/>
        <v>1</v>
      </c>
      <c r="I34">
        <f t="shared" ca="1" si="6"/>
        <v>1</v>
      </c>
      <c r="J34">
        <f t="shared" ca="1" si="7"/>
        <v>5</v>
      </c>
    </row>
    <row r="35" spans="2:10" x14ac:dyDescent="0.3">
      <c r="B35" t="s">
        <v>53</v>
      </c>
      <c r="C35" t="str">
        <f t="shared" ca="1" si="0"/>
        <v>M</v>
      </c>
      <c r="D35">
        <f t="shared" ca="1" si="1"/>
        <v>34</v>
      </c>
      <c r="E35" t="str">
        <f t="shared" ca="1" si="2"/>
        <v>Average</v>
      </c>
      <c r="F35" t="str">
        <f t="shared" ca="1" si="3"/>
        <v>Average</v>
      </c>
      <c r="G35" t="str">
        <f t="shared" ca="1" si="4"/>
        <v>Yes</v>
      </c>
      <c r="H35">
        <f t="shared" ca="1" si="5"/>
        <v>1</v>
      </c>
      <c r="I35">
        <f t="shared" ca="1" si="6"/>
        <v>3</v>
      </c>
      <c r="J35">
        <f t="shared" ca="1" si="7"/>
        <v>3</v>
      </c>
    </row>
    <row r="36" spans="2:10" x14ac:dyDescent="0.3">
      <c r="B36" t="s">
        <v>54</v>
      </c>
      <c r="C36" t="str">
        <f t="shared" ca="1" si="0"/>
        <v>F</v>
      </c>
      <c r="D36">
        <f t="shared" ca="1" si="1"/>
        <v>39</v>
      </c>
      <c r="E36" t="str">
        <f t="shared" ca="1" si="2"/>
        <v>Excellent</v>
      </c>
      <c r="F36" t="str">
        <f t="shared" ca="1" si="3"/>
        <v>Excellent</v>
      </c>
      <c r="G36" t="str">
        <f t="shared" ca="1" si="4"/>
        <v>Yes</v>
      </c>
      <c r="H36">
        <f t="shared" ca="1" si="5"/>
        <v>2</v>
      </c>
      <c r="I36">
        <f t="shared" ca="1" si="6"/>
        <v>1</v>
      </c>
      <c r="J36">
        <f t="shared" ca="1" si="7"/>
        <v>1</v>
      </c>
    </row>
    <row r="37" spans="2:10" x14ac:dyDescent="0.3">
      <c r="B37" t="s">
        <v>55</v>
      </c>
      <c r="C37" t="str">
        <f t="shared" ca="1" si="0"/>
        <v>F</v>
      </c>
      <c r="D37">
        <f t="shared" ca="1" si="1"/>
        <v>35</v>
      </c>
      <c r="E37" t="str">
        <f t="shared" ca="1" si="2"/>
        <v>Average</v>
      </c>
      <c r="F37" t="str">
        <f t="shared" ca="1" si="3"/>
        <v>Excellent</v>
      </c>
      <c r="G37" t="str">
        <f t="shared" ca="1" si="4"/>
        <v>No</v>
      </c>
      <c r="H37">
        <f t="shared" ca="1" si="5"/>
        <v>2</v>
      </c>
      <c r="I37">
        <f t="shared" ca="1" si="6"/>
        <v>3</v>
      </c>
      <c r="J37">
        <f t="shared" ca="1" si="7"/>
        <v>1</v>
      </c>
    </row>
    <row r="38" spans="2:10" x14ac:dyDescent="0.3">
      <c r="B38" t="s">
        <v>56</v>
      </c>
      <c r="C38" t="str">
        <f t="shared" ca="1" si="0"/>
        <v>M</v>
      </c>
      <c r="D38">
        <f t="shared" ca="1" si="1"/>
        <v>42</v>
      </c>
      <c r="E38" t="str">
        <f t="shared" ca="1" si="2"/>
        <v>Excellent</v>
      </c>
      <c r="F38" t="str">
        <f t="shared" ca="1" si="3"/>
        <v>Poor</v>
      </c>
      <c r="G38" t="str">
        <f t="shared" ca="1" si="4"/>
        <v>No</v>
      </c>
      <c r="H38">
        <f t="shared" ca="1" si="5"/>
        <v>1</v>
      </c>
      <c r="I38">
        <f t="shared" ca="1" si="6"/>
        <v>1</v>
      </c>
      <c r="J38">
        <f t="shared" ca="1" si="7"/>
        <v>5</v>
      </c>
    </row>
    <row r="39" spans="2:10" x14ac:dyDescent="0.3">
      <c r="B39" t="s">
        <v>57</v>
      </c>
      <c r="C39" t="str">
        <f t="shared" ca="1" si="0"/>
        <v>M</v>
      </c>
      <c r="D39">
        <f t="shared" ca="1" si="1"/>
        <v>38</v>
      </c>
      <c r="E39" t="str">
        <f t="shared" ca="1" si="2"/>
        <v>Excellent</v>
      </c>
      <c r="F39" t="str">
        <f t="shared" ca="1" si="3"/>
        <v>Above Average</v>
      </c>
      <c r="G39" t="str">
        <f t="shared" ca="1" si="4"/>
        <v>Yes</v>
      </c>
      <c r="H39">
        <f t="shared" ca="1" si="5"/>
        <v>1</v>
      </c>
      <c r="I39">
        <f t="shared" ca="1" si="6"/>
        <v>1</v>
      </c>
      <c r="J39">
        <f t="shared" ca="1" si="7"/>
        <v>2</v>
      </c>
    </row>
    <row r="40" spans="2:10" x14ac:dyDescent="0.3">
      <c r="B40" t="s">
        <v>58</v>
      </c>
      <c r="C40" t="str">
        <f t="shared" ca="1" si="0"/>
        <v>F</v>
      </c>
      <c r="D40">
        <f t="shared" ca="1" si="1"/>
        <v>41</v>
      </c>
      <c r="E40" t="str">
        <f t="shared" ca="1" si="2"/>
        <v>Above Average</v>
      </c>
      <c r="F40" t="str">
        <f t="shared" ca="1" si="3"/>
        <v>Above Average</v>
      </c>
      <c r="G40" t="str">
        <f t="shared" ca="1" si="4"/>
        <v>No</v>
      </c>
      <c r="H40">
        <f t="shared" ca="1" si="5"/>
        <v>2</v>
      </c>
      <c r="I40">
        <f t="shared" ca="1" si="6"/>
        <v>2</v>
      </c>
      <c r="J40">
        <f t="shared" ca="1" si="7"/>
        <v>2</v>
      </c>
    </row>
    <row r="41" spans="2:10" x14ac:dyDescent="0.3">
      <c r="B41" t="s">
        <v>59</v>
      </c>
      <c r="C41" t="str">
        <f t="shared" ca="1" si="0"/>
        <v>M</v>
      </c>
      <c r="D41">
        <f t="shared" ca="1" si="1"/>
        <v>28</v>
      </c>
      <c r="E41" t="str">
        <f t="shared" ca="1" si="2"/>
        <v>Excellent</v>
      </c>
      <c r="F41" t="str">
        <f t="shared" ca="1" si="3"/>
        <v>Excellent</v>
      </c>
      <c r="G41" t="str">
        <f t="shared" ca="1" si="4"/>
        <v>Yes</v>
      </c>
      <c r="H41">
        <f t="shared" ca="1" si="5"/>
        <v>1</v>
      </c>
      <c r="I41">
        <f t="shared" ca="1" si="6"/>
        <v>1</v>
      </c>
      <c r="J41">
        <f t="shared" ca="1" si="7"/>
        <v>1</v>
      </c>
    </row>
    <row r="42" spans="2:10" x14ac:dyDescent="0.3">
      <c r="B42" t="s">
        <v>60</v>
      </c>
      <c r="C42" t="str">
        <f t="shared" ca="1" si="0"/>
        <v>M</v>
      </c>
      <c r="D42">
        <f t="shared" ca="1" si="1"/>
        <v>38</v>
      </c>
      <c r="E42" t="str">
        <f t="shared" ca="1" si="2"/>
        <v>Average</v>
      </c>
      <c r="F42" t="str">
        <f t="shared" ca="1" si="3"/>
        <v>Excellent</v>
      </c>
      <c r="G42" t="str">
        <f t="shared" ca="1" si="4"/>
        <v>Yes</v>
      </c>
      <c r="H42">
        <f t="shared" ca="1" si="5"/>
        <v>1</v>
      </c>
      <c r="I42">
        <f t="shared" ca="1" si="6"/>
        <v>3</v>
      </c>
      <c r="J42">
        <f t="shared" ca="1" si="7"/>
        <v>1</v>
      </c>
    </row>
    <row r="43" spans="2:10" x14ac:dyDescent="0.3">
      <c r="B43" t="s">
        <v>61</v>
      </c>
      <c r="C43" t="str">
        <f t="shared" ca="1" si="0"/>
        <v>M</v>
      </c>
      <c r="D43">
        <f t="shared" ca="1" si="1"/>
        <v>36</v>
      </c>
      <c r="E43" t="str">
        <f t="shared" ca="1" si="2"/>
        <v>Average</v>
      </c>
      <c r="F43" t="str">
        <f t="shared" ca="1" si="3"/>
        <v>Poor</v>
      </c>
      <c r="G43" t="str">
        <f t="shared" ca="1" si="4"/>
        <v>Yes</v>
      </c>
      <c r="H43">
        <f t="shared" ca="1" si="5"/>
        <v>1</v>
      </c>
      <c r="I43">
        <f t="shared" ca="1" si="6"/>
        <v>3</v>
      </c>
      <c r="J43">
        <f t="shared" ca="1" si="7"/>
        <v>5</v>
      </c>
    </row>
    <row r="44" spans="2:10" x14ac:dyDescent="0.3">
      <c r="B44" t="s">
        <v>62</v>
      </c>
      <c r="C44" t="str">
        <f t="shared" ca="1" si="0"/>
        <v>M</v>
      </c>
      <c r="D44">
        <f t="shared" ca="1" si="1"/>
        <v>43</v>
      </c>
      <c r="E44" t="str">
        <f t="shared" ca="1" si="2"/>
        <v>Above Average</v>
      </c>
      <c r="F44" t="str">
        <f t="shared" ca="1" si="3"/>
        <v>Average</v>
      </c>
      <c r="G44" t="str">
        <f t="shared" ca="1" si="4"/>
        <v>No</v>
      </c>
      <c r="H44">
        <f t="shared" ca="1" si="5"/>
        <v>1</v>
      </c>
      <c r="I44">
        <f t="shared" ca="1" si="6"/>
        <v>2</v>
      </c>
      <c r="J44">
        <f t="shared" ca="1" si="7"/>
        <v>3</v>
      </c>
    </row>
    <row r="45" spans="2:10" x14ac:dyDescent="0.3">
      <c r="B45" t="s">
        <v>63</v>
      </c>
      <c r="C45" t="str">
        <f t="shared" ca="1" si="0"/>
        <v>F</v>
      </c>
      <c r="D45">
        <f t="shared" ca="1" si="1"/>
        <v>27</v>
      </c>
      <c r="E45" t="str">
        <f t="shared" ca="1" si="2"/>
        <v>Above Average</v>
      </c>
      <c r="F45" t="str">
        <f t="shared" ca="1" si="3"/>
        <v>Excellent</v>
      </c>
      <c r="G45" t="str">
        <f t="shared" ca="1" si="4"/>
        <v>No</v>
      </c>
      <c r="H45">
        <f t="shared" ca="1" si="5"/>
        <v>2</v>
      </c>
      <c r="I45">
        <f t="shared" ca="1" si="6"/>
        <v>2</v>
      </c>
      <c r="J45">
        <f t="shared" ca="1" si="7"/>
        <v>1</v>
      </c>
    </row>
    <row r="46" spans="2:10" x14ac:dyDescent="0.3">
      <c r="B46" t="s">
        <v>64</v>
      </c>
      <c r="C46" t="str">
        <f t="shared" ca="1" si="0"/>
        <v>F</v>
      </c>
      <c r="D46">
        <f t="shared" ca="1" si="1"/>
        <v>31</v>
      </c>
      <c r="E46" t="str">
        <f t="shared" ca="1" si="2"/>
        <v>Average</v>
      </c>
      <c r="F46" t="str">
        <f t="shared" ca="1" si="3"/>
        <v>Below Average</v>
      </c>
      <c r="G46" t="str">
        <f t="shared" ca="1" si="4"/>
        <v>No</v>
      </c>
      <c r="H46">
        <f t="shared" ca="1" si="5"/>
        <v>2</v>
      </c>
      <c r="I46">
        <f t="shared" ca="1" si="6"/>
        <v>3</v>
      </c>
      <c r="J46">
        <f t="shared" ca="1" si="7"/>
        <v>4</v>
      </c>
    </row>
    <row r="47" spans="2:10" x14ac:dyDescent="0.3">
      <c r="B47" t="s">
        <v>65</v>
      </c>
      <c r="C47" t="str">
        <f t="shared" ca="1" si="0"/>
        <v>F</v>
      </c>
      <c r="D47">
        <f t="shared" ca="1" si="1"/>
        <v>42</v>
      </c>
      <c r="E47" t="str">
        <f t="shared" ca="1" si="2"/>
        <v>Excellent</v>
      </c>
      <c r="F47" t="str">
        <f t="shared" ca="1" si="3"/>
        <v>Average</v>
      </c>
      <c r="G47" t="str">
        <f t="shared" ca="1" si="4"/>
        <v>No</v>
      </c>
      <c r="H47">
        <f t="shared" ca="1" si="5"/>
        <v>2</v>
      </c>
      <c r="I47">
        <f t="shared" ca="1" si="6"/>
        <v>1</v>
      </c>
      <c r="J47">
        <f t="shared" ca="1" si="7"/>
        <v>3</v>
      </c>
    </row>
    <row r="48" spans="2:10" x14ac:dyDescent="0.3">
      <c r="B48" t="s">
        <v>66</v>
      </c>
      <c r="C48" t="str">
        <f t="shared" ca="1" si="0"/>
        <v>M</v>
      </c>
      <c r="D48">
        <f t="shared" ca="1" si="1"/>
        <v>33</v>
      </c>
      <c r="E48" t="str">
        <f t="shared" ca="1" si="2"/>
        <v>Above Average</v>
      </c>
      <c r="F48" t="str">
        <f t="shared" ca="1" si="3"/>
        <v>Above Average</v>
      </c>
      <c r="G48" t="str">
        <f t="shared" ca="1" si="4"/>
        <v>No</v>
      </c>
      <c r="H48">
        <f t="shared" ca="1" si="5"/>
        <v>1</v>
      </c>
      <c r="I48">
        <f t="shared" ca="1" si="6"/>
        <v>2</v>
      </c>
      <c r="J48">
        <f t="shared" ca="1" si="7"/>
        <v>2</v>
      </c>
    </row>
    <row r="49" spans="2:10" x14ac:dyDescent="0.3">
      <c r="B49" t="s">
        <v>67</v>
      </c>
      <c r="C49" t="str">
        <f t="shared" ca="1" si="0"/>
        <v>F</v>
      </c>
      <c r="D49">
        <f t="shared" ca="1" si="1"/>
        <v>28</v>
      </c>
      <c r="E49" t="str">
        <f t="shared" ca="1" si="2"/>
        <v>Above Average</v>
      </c>
      <c r="F49" t="str">
        <f t="shared" ca="1" si="3"/>
        <v>Below Average</v>
      </c>
      <c r="G49" t="str">
        <f t="shared" ca="1" si="4"/>
        <v>No</v>
      </c>
      <c r="H49">
        <f t="shared" ca="1" si="5"/>
        <v>2</v>
      </c>
      <c r="I49">
        <f t="shared" ca="1" si="6"/>
        <v>2</v>
      </c>
      <c r="J49">
        <f t="shared" ca="1" si="7"/>
        <v>4</v>
      </c>
    </row>
    <row r="50" spans="2:10" x14ac:dyDescent="0.3">
      <c r="B50" t="s">
        <v>68</v>
      </c>
      <c r="C50" t="str">
        <f t="shared" ca="1" si="0"/>
        <v>F</v>
      </c>
      <c r="D50">
        <f t="shared" ca="1" si="1"/>
        <v>30</v>
      </c>
      <c r="E50" t="str">
        <f t="shared" ca="1" si="2"/>
        <v>Average</v>
      </c>
      <c r="F50" t="str">
        <f t="shared" ca="1" si="3"/>
        <v>Below Average</v>
      </c>
      <c r="G50" t="str">
        <f t="shared" ca="1" si="4"/>
        <v>No</v>
      </c>
      <c r="H50">
        <f t="shared" ca="1" si="5"/>
        <v>2</v>
      </c>
      <c r="I50">
        <f t="shared" ca="1" si="6"/>
        <v>3</v>
      </c>
      <c r="J50">
        <f t="shared" ca="1" si="7"/>
        <v>4</v>
      </c>
    </row>
    <row r="51" spans="2:10" x14ac:dyDescent="0.3">
      <c r="B51" t="s">
        <v>69</v>
      </c>
      <c r="C51" t="str">
        <f t="shared" ca="1" si="0"/>
        <v>F</v>
      </c>
      <c r="D51">
        <f t="shared" ca="1" si="1"/>
        <v>45</v>
      </c>
      <c r="E51" t="str">
        <f t="shared" ca="1" si="2"/>
        <v>Average</v>
      </c>
      <c r="F51" t="str">
        <f t="shared" ca="1" si="3"/>
        <v>Excellent</v>
      </c>
      <c r="G51" t="str">
        <f t="shared" ca="1" si="4"/>
        <v>Yes</v>
      </c>
      <c r="H51">
        <f t="shared" ca="1" si="5"/>
        <v>2</v>
      </c>
      <c r="I51">
        <f t="shared" ca="1" si="6"/>
        <v>3</v>
      </c>
      <c r="J51">
        <f t="shared" ca="1" si="7"/>
        <v>1</v>
      </c>
    </row>
    <row r="52" spans="2:10" x14ac:dyDescent="0.3">
      <c r="B52" t="s">
        <v>70</v>
      </c>
      <c r="C52" t="str">
        <f t="shared" ca="1" si="0"/>
        <v>M</v>
      </c>
      <c r="D52">
        <f t="shared" ca="1" si="1"/>
        <v>27</v>
      </c>
      <c r="E52" t="str">
        <f t="shared" ca="1" si="2"/>
        <v>Average</v>
      </c>
      <c r="F52" t="str">
        <f t="shared" ca="1" si="3"/>
        <v>Excellent</v>
      </c>
      <c r="G52" t="str">
        <f t="shared" ca="1" si="4"/>
        <v>No</v>
      </c>
      <c r="H52">
        <f t="shared" ca="1" si="5"/>
        <v>1</v>
      </c>
      <c r="I52">
        <f t="shared" ca="1" si="6"/>
        <v>3</v>
      </c>
      <c r="J52">
        <f t="shared" ca="1" si="7"/>
        <v>1</v>
      </c>
    </row>
    <row r="53" spans="2:10" x14ac:dyDescent="0.3">
      <c r="B53" t="s">
        <v>71</v>
      </c>
      <c r="C53" t="str">
        <f t="shared" ca="1" si="0"/>
        <v>F</v>
      </c>
      <c r="D53">
        <f t="shared" ca="1" si="1"/>
        <v>45</v>
      </c>
      <c r="E53" t="str">
        <f t="shared" ca="1" si="2"/>
        <v>Average</v>
      </c>
      <c r="F53" t="str">
        <f t="shared" ca="1" si="3"/>
        <v>Average</v>
      </c>
      <c r="G53" t="str">
        <f t="shared" ca="1" si="4"/>
        <v>Yes</v>
      </c>
      <c r="H53">
        <f t="shared" ca="1" si="5"/>
        <v>2</v>
      </c>
      <c r="I53">
        <f t="shared" ca="1" si="6"/>
        <v>3</v>
      </c>
      <c r="J53">
        <f t="shared" ca="1" si="7"/>
        <v>3</v>
      </c>
    </row>
    <row r="54" spans="2:10" x14ac:dyDescent="0.3">
      <c r="B54" t="s">
        <v>72</v>
      </c>
      <c r="C54" t="str">
        <f t="shared" ca="1" si="0"/>
        <v>M</v>
      </c>
      <c r="D54">
        <f t="shared" ca="1" si="1"/>
        <v>33</v>
      </c>
      <c r="E54" t="str">
        <f t="shared" ca="1" si="2"/>
        <v>Excellent</v>
      </c>
      <c r="F54" t="str">
        <f t="shared" ca="1" si="3"/>
        <v>Above Average</v>
      </c>
      <c r="G54" t="str">
        <f t="shared" ca="1" si="4"/>
        <v>No</v>
      </c>
      <c r="H54">
        <f t="shared" ca="1" si="5"/>
        <v>1</v>
      </c>
      <c r="I54">
        <f t="shared" ca="1" si="6"/>
        <v>1</v>
      </c>
      <c r="J54">
        <f t="shared" ca="1" si="7"/>
        <v>2</v>
      </c>
    </row>
    <row r="55" spans="2:10" x14ac:dyDescent="0.3">
      <c r="B55" t="s">
        <v>73</v>
      </c>
      <c r="C55" t="str">
        <f t="shared" ca="1" si="0"/>
        <v>M</v>
      </c>
      <c r="D55">
        <f t="shared" ca="1" si="1"/>
        <v>29</v>
      </c>
      <c r="E55" t="str">
        <f t="shared" ca="1" si="2"/>
        <v>Above Average</v>
      </c>
      <c r="F55" t="str">
        <f t="shared" ca="1" si="3"/>
        <v>Excellent</v>
      </c>
      <c r="G55" t="str">
        <f t="shared" ca="1" si="4"/>
        <v>Yes</v>
      </c>
      <c r="H55">
        <f t="shared" ca="1" si="5"/>
        <v>1</v>
      </c>
      <c r="I55">
        <f t="shared" ca="1" si="6"/>
        <v>2</v>
      </c>
      <c r="J55">
        <f t="shared" ca="1" si="7"/>
        <v>1</v>
      </c>
    </row>
    <row r="56" spans="2:10" x14ac:dyDescent="0.3">
      <c r="B56" t="s">
        <v>74</v>
      </c>
      <c r="C56" t="str">
        <f t="shared" ca="1" si="0"/>
        <v>M</v>
      </c>
      <c r="D56">
        <f t="shared" ca="1" si="1"/>
        <v>34</v>
      </c>
      <c r="E56" t="str">
        <f t="shared" ca="1" si="2"/>
        <v>Average</v>
      </c>
      <c r="F56" t="str">
        <f t="shared" ca="1" si="3"/>
        <v>Below Average</v>
      </c>
      <c r="G56" t="str">
        <f t="shared" ca="1" si="4"/>
        <v>Yes</v>
      </c>
      <c r="H56">
        <f t="shared" ca="1" si="5"/>
        <v>1</v>
      </c>
      <c r="I56">
        <f t="shared" ca="1" si="6"/>
        <v>3</v>
      </c>
      <c r="J56">
        <f t="shared" ca="1" si="7"/>
        <v>4</v>
      </c>
    </row>
    <row r="57" spans="2:10" x14ac:dyDescent="0.3">
      <c r="B57" t="s">
        <v>75</v>
      </c>
      <c r="C57" t="str">
        <f t="shared" ca="1" si="0"/>
        <v>F</v>
      </c>
      <c r="D57">
        <f t="shared" ca="1" si="1"/>
        <v>35</v>
      </c>
      <c r="E57" t="str">
        <f t="shared" ca="1" si="2"/>
        <v>Average</v>
      </c>
      <c r="F57" t="str">
        <f t="shared" ca="1" si="3"/>
        <v>Poor</v>
      </c>
      <c r="G57" t="str">
        <f t="shared" ca="1" si="4"/>
        <v>No</v>
      </c>
      <c r="H57">
        <f t="shared" ca="1" si="5"/>
        <v>2</v>
      </c>
      <c r="I57">
        <f t="shared" ca="1" si="6"/>
        <v>3</v>
      </c>
      <c r="J57">
        <f t="shared" ca="1" si="7"/>
        <v>5</v>
      </c>
    </row>
    <row r="58" spans="2:10" x14ac:dyDescent="0.3">
      <c r="B58" t="s">
        <v>76</v>
      </c>
      <c r="C58" t="str">
        <f t="shared" ca="1" si="0"/>
        <v>F</v>
      </c>
      <c r="D58">
        <f t="shared" ca="1" si="1"/>
        <v>43</v>
      </c>
      <c r="E58" t="str">
        <f t="shared" ca="1" si="2"/>
        <v>Excellent</v>
      </c>
      <c r="F58" t="str">
        <f t="shared" ca="1" si="3"/>
        <v>Below Average</v>
      </c>
      <c r="G58" t="str">
        <f t="shared" ca="1" si="4"/>
        <v>No</v>
      </c>
      <c r="H58">
        <f t="shared" ca="1" si="5"/>
        <v>2</v>
      </c>
      <c r="I58">
        <f t="shared" ca="1" si="6"/>
        <v>1</v>
      </c>
      <c r="J58">
        <f t="shared" ca="1" si="7"/>
        <v>4</v>
      </c>
    </row>
    <row r="59" spans="2:10" x14ac:dyDescent="0.3">
      <c r="B59" t="s">
        <v>77</v>
      </c>
      <c r="C59" t="str">
        <f t="shared" ca="1" si="0"/>
        <v>M</v>
      </c>
      <c r="D59">
        <f t="shared" ca="1" si="1"/>
        <v>43</v>
      </c>
      <c r="E59" t="str">
        <f t="shared" ca="1" si="2"/>
        <v>Excellent</v>
      </c>
      <c r="F59" t="str">
        <f t="shared" ca="1" si="3"/>
        <v>Excellent</v>
      </c>
      <c r="G59" t="str">
        <f t="shared" ca="1" si="4"/>
        <v>No</v>
      </c>
      <c r="H59">
        <f t="shared" ca="1" si="5"/>
        <v>1</v>
      </c>
      <c r="I59">
        <f t="shared" ca="1" si="6"/>
        <v>1</v>
      </c>
      <c r="J59">
        <f t="shared" ca="1" si="7"/>
        <v>1</v>
      </c>
    </row>
    <row r="60" spans="2:10" x14ac:dyDescent="0.3">
      <c r="B60" t="s">
        <v>78</v>
      </c>
      <c r="C60" t="str">
        <f t="shared" ca="1" si="0"/>
        <v>F</v>
      </c>
      <c r="D60">
        <f t="shared" ca="1" si="1"/>
        <v>44</v>
      </c>
      <c r="E60" t="str">
        <f t="shared" ca="1" si="2"/>
        <v>Above Average</v>
      </c>
      <c r="F60" t="str">
        <f t="shared" ca="1" si="3"/>
        <v>Excellent</v>
      </c>
      <c r="G60" t="str">
        <f t="shared" ca="1" si="4"/>
        <v>Yes</v>
      </c>
      <c r="H60">
        <f t="shared" ca="1" si="5"/>
        <v>2</v>
      </c>
      <c r="I60">
        <f t="shared" ca="1" si="6"/>
        <v>2</v>
      </c>
      <c r="J60">
        <f t="shared" ca="1" si="7"/>
        <v>1</v>
      </c>
    </row>
    <row r="61" spans="2:10" x14ac:dyDescent="0.3">
      <c r="B61" t="s">
        <v>79</v>
      </c>
      <c r="C61" t="str">
        <f t="shared" ca="1" si="0"/>
        <v>M</v>
      </c>
      <c r="D61">
        <f t="shared" ca="1" si="1"/>
        <v>39</v>
      </c>
      <c r="E61" t="str">
        <f t="shared" ca="1" si="2"/>
        <v>Excellent</v>
      </c>
      <c r="F61" t="str">
        <f t="shared" ca="1" si="3"/>
        <v>Average</v>
      </c>
      <c r="G61" t="str">
        <f t="shared" ca="1" si="4"/>
        <v>No</v>
      </c>
      <c r="H61">
        <f t="shared" ca="1" si="5"/>
        <v>1</v>
      </c>
      <c r="I61">
        <f t="shared" ca="1" si="6"/>
        <v>1</v>
      </c>
      <c r="J61">
        <f t="shared" ca="1" si="7"/>
        <v>3</v>
      </c>
    </row>
    <row r="62" spans="2:10" x14ac:dyDescent="0.3">
      <c r="B62" t="s">
        <v>80</v>
      </c>
      <c r="C62" t="str">
        <f t="shared" ca="1" si="0"/>
        <v>M</v>
      </c>
      <c r="D62">
        <f t="shared" ca="1" si="1"/>
        <v>38</v>
      </c>
      <c r="E62" t="str">
        <f t="shared" ca="1" si="2"/>
        <v>Average</v>
      </c>
      <c r="F62" t="str">
        <f t="shared" ca="1" si="3"/>
        <v>Average</v>
      </c>
      <c r="G62" t="str">
        <f t="shared" ca="1" si="4"/>
        <v>No</v>
      </c>
      <c r="H62">
        <f t="shared" ca="1" si="5"/>
        <v>1</v>
      </c>
      <c r="I62">
        <f t="shared" ca="1" si="6"/>
        <v>3</v>
      </c>
      <c r="J62">
        <f t="shared" ca="1" si="7"/>
        <v>3</v>
      </c>
    </row>
    <row r="63" spans="2:10" x14ac:dyDescent="0.3">
      <c r="B63" t="s">
        <v>81</v>
      </c>
      <c r="C63" t="str">
        <f t="shared" ca="1" si="0"/>
        <v>M</v>
      </c>
      <c r="D63">
        <f t="shared" ca="1" si="1"/>
        <v>36</v>
      </c>
      <c r="E63" t="str">
        <f t="shared" ca="1" si="2"/>
        <v>Average</v>
      </c>
      <c r="F63" t="str">
        <f t="shared" ca="1" si="3"/>
        <v>Average</v>
      </c>
      <c r="G63" t="str">
        <f t="shared" ca="1" si="4"/>
        <v>No</v>
      </c>
      <c r="H63">
        <f t="shared" ca="1" si="5"/>
        <v>1</v>
      </c>
      <c r="I63">
        <f t="shared" ca="1" si="6"/>
        <v>3</v>
      </c>
      <c r="J63">
        <f t="shared" ca="1" si="7"/>
        <v>3</v>
      </c>
    </row>
    <row r="64" spans="2:10" x14ac:dyDescent="0.3">
      <c r="B64" t="s">
        <v>82</v>
      </c>
      <c r="C64" t="str">
        <f t="shared" ca="1" si="0"/>
        <v>M</v>
      </c>
      <c r="D64">
        <f t="shared" ca="1" si="1"/>
        <v>42</v>
      </c>
      <c r="E64" t="str">
        <f t="shared" ca="1" si="2"/>
        <v>Excellent</v>
      </c>
      <c r="F64" t="str">
        <f t="shared" ca="1" si="3"/>
        <v>Excellent</v>
      </c>
      <c r="G64" t="str">
        <f t="shared" ca="1" si="4"/>
        <v>No</v>
      </c>
      <c r="H64">
        <f t="shared" ca="1" si="5"/>
        <v>1</v>
      </c>
      <c r="I64">
        <f t="shared" ca="1" si="6"/>
        <v>1</v>
      </c>
      <c r="J64">
        <f t="shared" ca="1" si="7"/>
        <v>1</v>
      </c>
    </row>
    <row r="65" spans="2:10" x14ac:dyDescent="0.3">
      <c r="B65" t="s">
        <v>83</v>
      </c>
      <c r="C65" t="str">
        <f t="shared" ca="1" si="0"/>
        <v>M</v>
      </c>
      <c r="D65">
        <f t="shared" ca="1" si="1"/>
        <v>33</v>
      </c>
      <c r="E65" t="str">
        <f t="shared" ca="1" si="2"/>
        <v>Average</v>
      </c>
      <c r="F65" t="str">
        <f t="shared" ca="1" si="3"/>
        <v>Average</v>
      </c>
      <c r="G65" t="str">
        <f t="shared" ca="1" si="4"/>
        <v>Yes</v>
      </c>
      <c r="H65">
        <f t="shared" ca="1" si="5"/>
        <v>1</v>
      </c>
      <c r="I65">
        <f t="shared" ca="1" si="6"/>
        <v>3</v>
      </c>
      <c r="J65">
        <f t="shared" ca="1" si="7"/>
        <v>3</v>
      </c>
    </row>
    <row r="66" spans="2:10" x14ac:dyDescent="0.3">
      <c r="B66" t="s">
        <v>84</v>
      </c>
      <c r="C66" t="str">
        <f t="shared" ca="1" si="0"/>
        <v>F</v>
      </c>
      <c r="D66">
        <f t="shared" ca="1" si="1"/>
        <v>34</v>
      </c>
      <c r="E66" t="str">
        <f t="shared" ca="1" si="2"/>
        <v>Excellent</v>
      </c>
      <c r="F66" t="str">
        <f t="shared" ca="1" si="3"/>
        <v>Poor</v>
      </c>
      <c r="G66" t="str">
        <f t="shared" ca="1" si="4"/>
        <v>Yes</v>
      </c>
      <c r="H66">
        <f t="shared" ca="1" si="5"/>
        <v>2</v>
      </c>
      <c r="I66">
        <f t="shared" ca="1" si="6"/>
        <v>1</v>
      </c>
      <c r="J66">
        <f t="shared" ca="1" si="7"/>
        <v>5</v>
      </c>
    </row>
    <row r="67" spans="2:10" x14ac:dyDescent="0.3">
      <c r="B67" t="s">
        <v>85</v>
      </c>
      <c r="C67" t="str">
        <f t="shared" ref="C67:C101" ca="1" si="8">IF(H67=1,"M","F")</f>
        <v>M</v>
      </c>
      <c r="D67">
        <f t="shared" ref="D67:D101" ca="1" si="9">RANDBETWEEN(25,45)</f>
        <v>35</v>
      </c>
      <c r="E67" t="str">
        <f t="shared" ref="E67:E101" ca="1" si="10">IF(I67=1,"Excellent",IF(I67=2,"Above Average","Average"))</f>
        <v>Average</v>
      </c>
      <c r="F67" t="str">
        <f t="shared" ref="F67:F101" ca="1" si="11">IF(J67=1,"Excellent",IF(J67=2,"Above Average",IF(J67=3,"Average",IF(J67=4,"Below Average","Poor"))))</f>
        <v>Above Average</v>
      </c>
      <c r="G67" t="str">
        <f t="shared" ref="G67:G101" ca="1" si="12">IF(RANDBETWEEN(1,2)=1,"Yes","No")</f>
        <v>Yes</v>
      </c>
      <c r="H67">
        <f t="shared" ref="H67:H101" ca="1" si="13">RANDBETWEEN(1,2)</f>
        <v>1</v>
      </c>
      <c r="I67">
        <f t="shared" ref="I67:I101" ca="1" si="14">RANDBETWEEN(1,3)</f>
        <v>3</v>
      </c>
      <c r="J67">
        <f t="shared" ref="J67:J101" ca="1" si="15">RANDBETWEEN(1,5)</f>
        <v>2</v>
      </c>
    </row>
    <row r="68" spans="2:10" x14ac:dyDescent="0.3">
      <c r="B68" t="s">
        <v>86</v>
      </c>
      <c r="C68" t="str">
        <f t="shared" ca="1" si="8"/>
        <v>F</v>
      </c>
      <c r="D68">
        <f t="shared" ca="1" si="9"/>
        <v>25</v>
      </c>
      <c r="E68" t="str">
        <f t="shared" ca="1" si="10"/>
        <v>Average</v>
      </c>
      <c r="F68" t="str">
        <f t="shared" ca="1" si="11"/>
        <v>Above Average</v>
      </c>
      <c r="G68" t="str">
        <f t="shared" ca="1" si="12"/>
        <v>Yes</v>
      </c>
      <c r="H68">
        <f t="shared" ca="1" si="13"/>
        <v>2</v>
      </c>
      <c r="I68">
        <f t="shared" ca="1" si="14"/>
        <v>3</v>
      </c>
      <c r="J68">
        <f t="shared" ca="1" si="15"/>
        <v>2</v>
      </c>
    </row>
    <row r="69" spans="2:10" x14ac:dyDescent="0.3">
      <c r="B69" t="s">
        <v>87</v>
      </c>
      <c r="C69" t="str">
        <f t="shared" ca="1" si="8"/>
        <v>M</v>
      </c>
      <c r="D69">
        <f t="shared" ca="1" si="9"/>
        <v>25</v>
      </c>
      <c r="E69" t="str">
        <f t="shared" ca="1" si="10"/>
        <v>Above Average</v>
      </c>
      <c r="F69" t="str">
        <f t="shared" ca="1" si="11"/>
        <v>Excellent</v>
      </c>
      <c r="G69" t="str">
        <f t="shared" ca="1" si="12"/>
        <v>Yes</v>
      </c>
      <c r="H69">
        <f t="shared" ca="1" si="13"/>
        <v>1</v>
      </c>
      <c r="I69">
        <f t="shared" ca="1" si="14"/>
        <v>2</v>
      </c>
      <c r="J69">
        <f t="shared" ca="1" si="15"/>
        <v>1</v>
      </c>
    </row>
    <row r="70" spans="2:10" x14ac:dyDescent="0.3">
      <c r="B70" t="s">
        <v>88</v>
      </c>
      <c r="C70" t="str">
        <f t="shared" ca="1" si="8"/>
        <v>M</v>
      </c>
      <c r="D70">
        <f t="shared" ca="1" si="9"/>
        <v>35</v>
      </c>
      <c r="E70" t="str">
        <f t="shared" ca="1" si="10"/>
        <v>Excellent</v>
      </c>
      <c r="F70" t="str">
        <f t="shared" ca="1" si="11"/>
        <v>Average</v>
      </c>
      <c r="G70" t="str">
        <f t="shared" ca="1" si="12"/>
        <v>Yes</v>
      </c>
      <c r="H70">
        <f t="shared" ca="1" si="13"/>
        <v>1</v>
      </c>
      <c r="I70">
        <f t="shared" ca="1" si="14"/>
        <v>1</v>
      </c>
      <c r="J70">
        <f t="shared" ca="1" si="15"/>
        <v>3</v>
      </c>
    </row>
    <row r="71" spans="2:10" x14ac:dyDescent="0.3">
      <c r="B71" t="s">
        <v>89</v>
      </c>
      <c r="C71" t="str">
        <f t="shared" ca="1" si="8"/>
        <v>M</v>
      </c>
      <c r="D71">
        <f t="shared" ca="1" si="9"/>
        <v>39</v>
      </c>
      <c r="E71" t="str">
        <f t="shared" ca="1" si="10"/>
        <v>Above Average</v>
      </c>
      <c r="F71" t="str">
        <f t="shared" ca="1" si="11"/>
        <v>Below Average</v>
      </c>
      <c r="G71" t="str">
        <f t="shared" ca="1" si="12"/>
        <v>No</v>
      </c>
      <c r="H71">
        <f t="shared" ca="1" si="13"/>
        <v>1</v>
      </c>
      <c r="I71">
        <f t="shared" ca="1" si="14"/>
        <v>2</v>
      </c>
      <c r="J71">
        <f t="shared" ca="1" si="15"/>
        <v>4</v>
      </c>
    </row>
    <row r="72" spans="2:10" x14ac:dyDescent="0.3">
      <c r="B72" t="s">
        <v>90</v>
      </c>
      <c r="C72" t="str">
        <f t="shared" ca="1" si="8"/>
        <v>F</v>
      </c>
      <c r="D72">
        <f t="shared" ca="1" si="9"/>
        <v>36</v>
      </c>
      <c r="E72" t="str">
        <f t="shared" ca="1" si="10"/>
        <v>Excellent</v>
      </c>
      <c r="F72" t="str">
        <f t="shared" ca="1" si="11"/>
        <v>Poor</v>
      </c>
      <c r="G72" t="str">
        <f t="shared" ca="1" si="12"/>
        <v>Yes</v>
      </c>
      <c r="H72">
        <f t="shared" ca="1" si="13"/>
        <v>2</v>
      </c>
      <c r="I72">
        <f t="shared" ca="1" si="14"/>
        <v>1</v>
      </c>
      <c r="J72">
        <f t="shared" ca="1" si="15"/>
        <v>5</v>
      </c>
    </row>
    <row r="73" spans="2:10" x14ac:dyDescent="0.3">
      <c r="B73" t="s">
        <v>91</v>
      </c>
      <c r="C73" t="str">
        <f t="shared" ca="1" si="8"/>
        <v>M</v>
      </c>
      <c r="D73">
        <f t="shared" ca="1" si="9"/>
        <v>39</v>
      </c>
      <c r="E73" t="str">
        <f t="shared" ca="1" si="10"/>
        <v>Excellent</v>
      </c>
      <c r="F73" t="str">
        <f t="shared" ca="1" si="11"/>
        <v>Below Average</v>
      </c>
      <c r="G73" t="str">
        <f t="shared" ca="1" si="12"/>
        <v>Yes</v>
      </c>
      <c r="H73">
        <f t="shared" ca="1" si="13"/>
        <v>1</v>
      </c>
      <c r="I73">
        <f t="shared" ca="1" si="14"/>
        <v>1</v>
      </c>
      <c r="J73">
        <f t="shared" ca="1" si="15"/>
        <v>4</v>
      </c>
    </row>
    <row r="74" spans="2:10" x14ac:dyDescent="0.3">
      <c r="B74" t="s">
        <v>92</v>
      </c>
      <c r="C74" t="str">
        <f t="shared" ca="1" si="8"/>
        <v>M</v>
      </c>
      <c r="D74">
        <f t="shared" ca="1" si="9"/>
        <v>27</v>
      </c>
      <c r="E74" t="str">
        <f t="shared" ca="1" si="10"/>
        <v>Excellent</v>
      </c>
      <c r="F74" t="str">
        <f t="shared" ca="1" si="11"/>
        <v>Average</v>
      </c>
      <c r="G74" t="str">
        <f t="shared" ca="1" si="12"/>
        <v>No</v>
      </c>
      <c r="H74">
        <f t="shared" ca="1" si="13"/>
        <v>1</v>
      </c>
      <c r="I74">
        <f t="shared" ca="1" si="14"/>
        <v>1</v>
      </c>
      <c r="J74">
        <f t="shared" ca="1" si="15"/>
        <v>3</v>
      </c>
    </row>
    <row r="75" spans="2:10" x14ac:dyDescent="0.3">
      <c r="B75" t="s">
        <v>93</v>
      </c>
      <c r="C75" t="str">
        <f t="shared" ca="1" si="8"/>
        <v>F</v>
      </c>
      <c r="D75">
        <f t="shared" ca="1" si="9"/>
        <v>29</v>
      </c>
      <c r="E75" t="str">
        <f t="shared" ca="1" si="10"/>
        <v>Above Average</v>
      </c>
      <c r="F75" t="str">
        <f t="shared" ca="1" si="11"/>
        <v>Below Average</v>
      </c>
      <c r="G75" t="str">
        <f t="shared" ca="1" si="12"/>
        <v>Yes</v>
      </c>
      <c r="H75">
        <f t="shared" ca="1" si="13"/>
        <v>2</v>
      </c>
      <c r="I75">
        <f t="shared" ca="1" si="14"/>
        <v>2</v>
      </c>
      <c r="J75">
        <f t="shared" ca="1" si="15"/>
        <v>4</v>
      </c>
    </row>
    <row r="76" spans="2:10" x14ac:dyDescent="0.3">
      <c r="B76" t="s">
        <v>94</v>
      </c>
      <c r="C76" t="str">
        <f t="shared" ca="1" si="8"/>
        <v>F</v>
      </c>
      <c r="D76">
        <f t="shared" ca="1" si="9"/>
        <v>26</v>
      </c>
      <c r="E76" t="str">
        <f t="shared" ca="1" si="10"/>
        <v>Excellent</v>
      </c>
      <c r="F76" t="str">
        <f t="shared" ca="1" si="11"/>
        <v>Average</v>
      </c>
      <c r="G76" t="str">
        <f t="shared" ca="1" si="12"/>
        <v>No</v>
      </c>
      <c r="H76">
        <f t="shared" ca="1" si="13"/>
        <v>2</v>
      </c>
      <c r="I76">
        <f t="shared" ca="1" si="14"/>
        <v>1</v>
      </c>
      <c r="J76">
        <f t="shared" ca="1" si="15"/>
        <v>3</v>
      </c>
    </row>
    <row r="77" spans="2:10" x14ac:dyDescent="0.3">
      <c r="B77" t="s">
        <v>95</v>
      </c>
      <c r="C77" t="str">
        <f t="shared" ca="1" si="8"/>
        <v>M</v>
      </c>
      <c r="D77">
        <f t="shared" ca="1" si="9"/>
        <v>42</v>
      </c>
      <c r="E77" t="str">
        <f t="shared" ca="1" si="10"/>
        <v>Above Average</v>
      </c>
      <c r="F77" t="str">
        <f t="shared" ca="1" si="11"/>
        <v>Average</v>
      </c>
      <c r="G77" t="str">
        <f t="shared" ca="1" si="12"/>
        <v>Yes</v>
      </c>
      <c r="H77">
        <f t="shared" ca="1" si="13"/>
        <v>1</v>
      </c>
      <c r="I77">
        <f t="shared" ca="1" si="14"/>
        <v>2</v>
      </c>
      <c r="J77">
        <f t="shared" ca="1" si="15"/>
        <v>3</v>
      </c>
    </row>
    <row r="78" spans="2:10" x14ac:dyDescent="0.3">
      <c r="B78" t="s">
        <v>96</v>
      </c>
      <c r="C78" t="str">
        <f t="shared" ca="1" si="8"/>
        <v>M</v>
      </c>
      <c r="D78">
        <f t="shared" ca="1" si="9"/>
        <v>35</v>
      </c>
      <c r="E78" t="str">
        <f t="shared" ca="1" si="10"/>
        <v>Average</v>
      </c>
      <c r="F78" t="str">
        <f t="shared" ca="1" si="11"/>
        <v>Average</v>
      </c>
      <c r="G78" t="str">
        <f t="shared" ca="1" si="12"/>
        <v>Yes</v>
      </c>
      <c r="H78">
        <f t="shared" ca="1" si="13"/>
        <v>1</v>
      </c>
      <c r="I78">
        <f t="shared" ca="1" si="14"/>
        <v>3</v>
      </c>
      <c r="J78">
        <f t="shared" ca="1" si="15"/>
        <v>3</v>
      </c>
    </row>
    <row r="79" spans="2:10" x14ac:dyDescent="0.3">
      <c r="B79" t="s">
        <v>97</v>
      </c>
      <c r="C79" t="str">
        <f t="shared" ca="1" si="8"/>
        <v>F</v>
      </c>
      <c r="D79">
        <f t="shared" ca="1" si="9"/>
        <v>45</v>
      </c>
      <c r="E79" t="str">
        <f t="shared" ca="1" si="10"/>
        <v>Above Average</v>
      </c>
      <c r="F79" t="str">
        <f t="shared" ca="1" si="11"/>
        <v>Below Average</v>
      </c>
      <c r="G79" t="str">
        <f t="shared" ca="1" si="12"/>
        <v>Yes</v>
      </c>
      <c r="H79">
        <f t="shared" ca="1" si="13"/>
        <v>2</v>
      </c>
      <c r="I79">
        <f t="shared" ca="1" si="14"/>
        <v>2</v>
      </c>
      <c r="J79">
        <f t="shared" ca="1" si="15"/>
        <v>4</v>
      </c>
    </row>
    <row r="80" spans="2:10" x14ac:dyDescent="0.3">
      <c r="B80" t="s">
        <v>98</v>
      </c>
      <c r="C80" t="str">
        <f t="shared" ca="1" si="8"/>
        <v>M</v>
      </c>
      <c r="D80">
        <f t="shared" ca="1" si="9"/>
        <v>36</v>
      </c>
      <c r="E80" t="str">
        <f t="shared" ca="1" si="10"/>
        <v>Excellent</v>
      </c>
      <c r="F80" t="str">
        <f t="shared" ca="1" si="11"/>
        <v>Above Average</v>
      </c>
      <c r="G80" t="str">
        <f t="shared" ca="1" si="12"/>
        <v>No</v>
      </c>
      <c r="H80">
        <f t="shared" ca="1" si="13"/>
        <v>1</v>
      </c>
      <c r="I80">
        <f t="shared" ca="1" si="14"/>
        <v>1</v>
      </c>
      <c r="J80">
        <f t="shared" ca="1" si="15"/>
        <v>2</v>
      </c>
    </row>
    <row r="81" spans="2:10" x14ac:dyDescent="0.3">
      <c r="B81" t="s">
        <v>99</v>
      </c>
      <c r="C81" t="str">
        <f t="shared" ca="1" si="8"/>
        <v>F</v>
      </c>
      <c r="D81">
        <f t="shared" ca="1" si="9"/>
        <v>44</v>
      </c>
      <c r="E81" t="str">
        <f t="shared" ca="1" si="10"/>
        <v>Above Average</v>
      </c>
      <c r="F81" t="str">
        <f t="shared" ca="1" si="11"/>
        <v>Above Average</v>
      </c>
      <c r="G81" t="str">
        <f t="shared" ca="1" si="12"/>
        <v>No</v>
      </c>
      <c r="H81">
        <f t="shared" ca="1" si="13"/>
        <v>2</v>
      </c>
      <c r="I81">
        <f t="shared" ca="1" si="14"/>
        <v>2</v>
      </c>
      <c r="J81">
        <f t="shared" ca="1" si="15"/>
        <v>2</v>
      </c>
    </row>
    <row r="82" spans="2:10" x14ac:dyDescent="0.3">
      <c r="B82" t="s">
        <v>100</v>
      </c>
      <c r="C82" t="str">
        <f t="shared" ca="1" si="8"/>
        <v>M</v>
      </c>
      <c r="D82">
        <f t="shared" ca="1" si="9"/>
        <v>40</v>
      </c>
      <c r="E82" t="str">
        <f t="shared" ca="1" si="10"/>
        <v>Average</v>
      </c>
      <c r="F82" t="str">
        <f t="shared" ca="1" si="11"/>
        <v>Above Average</v>
      </c>
      <c r="G82" t="str">
        <f t="shared" ca="1" si="12"/>
        <v>Yes</v>
      </c>
      <c r="H82">
        <f t="shared" ca="1" si="13"/>
        <v>1</v>
      </c>
      <c r="I82">
        <f t="shared" ca="1" si="14"/>
        <v>3</v>
      </c>
      <c r="J82">
        <f t="shared" ca="1" si="15"/>
        <v>2</v>
      </c>
    </row>
    <row r="83" spans="2:10" x14ac:dyDescent="0.3">
      <c r="B83" t="s">
        <v>101</v>
      </c>
      <c r="C83" t="str">
        <f t="shared" ca="1" si="8"/>
        <v>F</v>
      </c>
      <c r="D83">
        <f t="shared" ca="1" si="9"/>
        <v>26</v>
      </c>
      <c r="E83" t="str">
        <f t="shared" ca="1" si="10"/>
        <v>Average</v>
      </c>
      <c r="F83" t="str">
        <f t="shared" ca="1" si="11"/>
        <v>Average</v>
      </c>
      <c r="G83" t="str">
        <f t="shared" ca="1" si="12"/>
        <v>Yes</v>
      </c>
      <c r="H83">
        <f t="shared" ca="1" si="13"/>
        <v>2</v>
      </c>
      <c r="I83">
        <f t="shared" ca="1" si="14"/>
        <v>3</v>
      </c>
      <c r="J83">
        <f t="shared" ca="1" si="15"/>
        <v>3</v>
      </c>
    </row>
    <row r="84" spans="2:10" x14ac:dyDescent="0.3">
      <c r="B84" t="s">
        <v>102</v>
      </c>
      <c r="C84" t="str">
        <f t="shared" ca="1" si="8"/>
        <v>F</v>
      </c>
      <c r="D84">
        <f t="shared" ca="1" si="9"/>
        <v>40</v>
      </c>
      <c r="E84" t="str">
        <f t="shared" ca="1" si="10"/>
        <v>Average</v>
      </c>
      <c r="F84" t="str">
        <f t="shared" ca="1" si="11"/>
        <v>Poor</v>
      </c>
      <c r="G84" t="str">
        <f t="shared" ca="1" si="12"/>
        <v>Yes</v>
      </c>
      <c r="H84">
        <f t="shared" ca="1" si="13"/>
        <v>2</v>
      </c>
      <c r="I84">
        <f t="shared" ca="1" si="14"/>
        <v>3</v>
      </c>
      <c r="J84">
        <f t="shared" ca="1" si="15"/>
        <v>5</v>
      </c>
    </row>
    <row r="85" spans="2:10" x14ac:dyDescent="0.3">
      <c r="B85" t="s">
        <v>103</v>
      </c>
      <c r="C85" t="str">
        <f t="shared" ca="1" si="8"/>
        <v>F</v>
      </c>
      <c r="D85">
        <f t="shared" ca="1" si="9"/>
        <v>45</v>
      </c>
      <c r="E85" t="str">
        <f t="shared" ca="1" si="10"/>
        <v>Average</v>
      </c>
      <c r="F85" t="str">
        <f t="shared" ca="1" si="11"/>
        <v>Excellent</v>
      </c>
      <c r="G85" t="str">
        <f t="shared" ca="1" si="12"/>
        <v>Yes</v>
      </c>
      <c r="H85">
        <f t="shared" ca="1" si="13"/>
        <v>2</v>
      </c>
      <c r="I85">
        <f t="shared" ca="1" si="14"/>
        <v>3</v>
      </c>
      <c r="J85">
        <f t="shared" ca="1" si="15"/>
        <v>1</v>
      </c>
    </row>
    <row r="86" spans="2:10" x14ac:dyDescent="0.3">
      <c r="B86" t="s">
        <v>104</v>
      </c>
      <c r="C86" t="str">
        <f t="shared" ca="1" si="8"/>
        <v>F</v>
      </c>
      <c r="D86">
        <f t="shared" ca="1" si="9"/>
        <v>33</v>
      </c>
      <c r="E86" t="str">
        <f t="shared" ca="1" si="10"/>
        <v>Above Average</v>
      </c>
      <c r="F86" t="str">
        <f t="shared" ca="1" si="11"/>
        <v>Poor</v>
      </c>
      <c r="G86" t="str">
        <f t="shared" ca="1" si="12"/>
        <v>Yes</v>
      </c>
      <c r="H86">
        <f t="shared" ca="1" si="13"/>
        <v>2</v>
      </c>
      <c r="I86">
        <f t="shared" ca="1" si="14"/>
        <v>2</v>
      </c>
      <c r="J86">
        <f t="shared" ca="1" si="15"/>
        <v>5</v>
      </c>
    </row>
    <row r="87" spans="2:10" x14ac:dyDescent="0.3">
      <c r="B87" t="s">
        <v>105</v>
      </c>
      <c r="C87" t="str">
        <f t="shared" ca="1" si="8"/>
        <v>M</v>
      </c>
      <c r="D87">
        <f t="shared" ca="1" si="9"/>
        <v>42</v>
      </c>
      <c r="E87" t="str">
        <f t="shared" ca="1" si="10"/>
        <v>Average</v>
      </c>
      <c r="F87" t="str">
        <f t="shared" ca="1" si="11"/>
        <v>Excellent</v>
      </c>
      <c r="G87" t="str">
        <f t="shared" ca="1" si="12"/>
        <v>No</v>
      </c>
      <c r="H87">
        <f t="shared" ca="1" si="13"/>
        <v>1</v>
      </c>
      <c r="I87">
        <f t="shared" ca="1" si="14"/>
        <v>3</v>
      </c>
      <c r="J87">
        <f t="shared" ca="1" si="15"/>
        <v>1</v>
      </c>
    </row>
    <row r="88" spans="2:10" x14ac:dyDescent="0.3">
      <c r="B88" t="s">
        <v>106</v>
      </c>
      <c r="C88" t="str">
        <f t="shared" ca="1" si="8"/>
        <v>F</v>
      </c>
      <c r="D88">
        <f t="shared" ca="1" si="9"/>
        <v>27</v>
      </c>
      <c r="E88" t="str">
        <f t="shared" ca="1" si="10"/>
        <v>Average</v>
      </c>
      <c r="F88" t="str">
        <f t="shared" ca="1" si="11"/>
        <v>Above Average</v>
      </c>
      <c r="G88" t="str">
        <f t="shared" ca="1" si="12"/>
        <v>No</v>
      </c>
      <c r="H88">
        <f t="shared" ca="1" si="13"/>
        <v>2</v>
      </c>
      <c r="I88">
        <f t="shared" ca="1" si="14"/>
        <v>3</v>
      </c>
      <c r="J88">
        <f t="shared" ca="1" si="15"/>
        <v>2</v>
      </c>
    </row>
    <row r="89" spans="2:10" x14ac:dyDescent="0.3">
      <c r="B89" t="s">
        <v>107</v>
      </c>
      <c r="C89" t="str">
        <f t="shared" ca="1" si="8"/>
        <v>M</v>
      </c>
      <c r="D89">
        <f t="shared" ca="1" si="9"/>
        <v>35</v>
      </c>
      <c r="E89" t="str">
        <f t="shared" ca="1" si="10"/>
        <v>Excellent</v>
      </c>
      <c r="F89" t="str">
        <f t="shared" ca="1" si="11"/>
        <v>Above Average</v>
      </c>
      <c r="G89" t="str">
        <f t="shared" ca="1" si="12"/>
        <v>Yes</v>
      </c>
      <c r="H89">
        <f t="shared" ca="1" si="13"/>
        <v>1</v>
      </c>
      <c r="I89">
        <f t="shared" ca="1" si="14"/>
        <v>1</v>
      </c>
      <c r="J89">
        <f t="shared" ca="1" si="15"/>
        <v>2</v>
      </c>
    </row>
    <row r="90" spans="2:10" x14ac:dyDescent="0.3">
      <c r="B90" t="s">
        <v>108</v>
      </c>
      <c r="C90" t="str">
        <f t="shared" ca="1" si="8"/>
        <v>F</v>
      </c>
      <c r="D90">
        <f t="shared" ca="1" si="9"/>
        <v>25</v>
      </c>
      <c r="E90" t="str">
        <f t="shared" ca="1" si="10"/>
        <v>Average</v>
      </c>
      <c r="F90" t="str">
        <f t="shared" ca="1" si="11"/>
        <v>Excellent</v>
      </c>
      <c r="G90" t="str">
        <f t="shared" ca="1" si="12"/>
        <v>No</v>
      </c>
      <c r="H90">
        <f t="shared" ca="1" si="13"/>
        <v>2</v>
      </c>
      <c r="I90">
        <f t="shared" ca="1" si="14"/>
        <v>3</v>
      </c>
      <c r="J90">
        <f t="shared" ca="1" si="15"/>
        <v>1</v>
      </c>
    </row>
    <row r="91" spans="2:10" x14ac:dyDescent="0.3">
      <c r="B91" t="s">
        <v>109</v>
      </c>
      <c r="C91" t="str">
        <f t="shared" ca="1" si="8"/>
        <v>M</v>
      </c>
      <c r="D91">
        <f t="shared" ca="1" si="9"/>
        <v>40</v>
      </c>
      <c r="E91" t="str">
        <f t="shared" ca="1" si="10"/>
        <v>Above Average</v>
      </c>
      <c r="F91" t="str">
        <f t="shared" ca="1" si="11"/>
        <v>Average</v>
      </c>
      <c r="G91" t="str">
        <f t="shared" ca="1" si="12"/>
        <v>No</v>
      </c>
      <c r="H91">
        <f t="shared" ca="1" si="13"/>
        <v>1</v>
      </c>
      <c r="I91">
        <f t="shared" ca="1" si="14"/>
        <v>2</v>
      </c>
      <c r="J91">
        <f t="shared" ca="1" si="15"/>
        <v>3</v>
      </c>
    </row>
    <row r="92" spans="2:10" x14ac:dyDescent="0.3">
      <c r="B92" t="s">
        <v>110</v>
      </c>
      <c r="C92" t="str">
        <f t="shared" ca="1" si="8"/>
        <v>M</v>
      </c>
      <c r="D92">
        <f t="shared" ca="1" si="9"/>
        <v>45</v>
      </c>
      <c r="E92" t="str">
        <f t="shared" ca="1" si="10"/>
        <v>Above Average</v>
      </c>
      <c r="F92" t="str">
        <f t="shared" ca="1" si="11"/>
        <v>Below Average</v>
      </c>
      <c r="G92" t="str">
        <f t="shared" ca="1" si="12"/>
        <v>No</v>
      </c>
      <c r="H92">
        <f t="shared" ca="1" si="13"/>
        <v>1</v>
      </c>
      <c r="I92">
        <f t="shared" ca="1" si="14"/>
        <v>2</v>
      </c>
      <c r="J92">
        <f t="shared" ca="1" si="15"/>
        <v>4</v>
      </c>
    </row>
    <row r="93" spans="2:10" x14ac:dyDescent="0.3">
      <c r="B93" t="s">
        <v>111</v>
      </c>
      <c r="C93" t="str">
        <f t="shared" ca="1" si="8"/>
        <v>M</v>
      </c>
      <c r="D93">
        <f t="shared" ca="1" si="9"/>
        <v>45</v>
      </c>
      <c r="E93" t="str">
        <f t="shared" ca="1" si="10"/>
        <v>Above Average</v>
      </c>
      <c r="F93" t="str">
        <f t="shared" ca="1" si="11"/>
        <v>Above Average</v>
      </c>
      <c r="G93" t="str">
        <f t="shared" ca="1" si="12"/>
        <v>No</v>
      </c>
      <c r="H93">
        <f t="shared" ca="1" si="13"/>
        <v>1</v>
      </c>
      <c r="I93">
        <f t="shared" ca="1" si="14"/>
        <v>2</v>
      </c>
      <c r="J93">
        <f t="shared" ca="1" si="15"/>
        <v>2</v>
      </c>
    </row>
    <row r="94" spans="2:10" x14ac:dyDescent="0.3">
      <c r="B94" t="s">
        <v>112</v>
      </c>
      <c r="C94" t="str">
        <f t="shared" ca="1" si="8"/>
        <v>M</v>
      </c>
      <c r="D94">
        <f t="shared" ca="1" si="9"/>
        <v>44</v>
      </c>
      <c r="E94" t="str">
        <f t="shared" ca="1" si="10"/>
        <v>Excellent</v>
      </c>
      <c r="F94" t="str">
        <f t="shared" ca="1" si="11"/>
        <v>Above Average</v>
      </c>
      <c r="G94" t="str">
        <f t="shared" ca="1" si="12"/>
        <v>Yes</v>
      </c>
      <c r="H94">
        <f t="shared" ca="1" si="13"/>
        <v>1</v>
      </c>
      <c r="I94">
        <f t="shared" ca="1" si="14"/>
        <v>1</v>
      </c>
      <c r="J94">
        <f t="shared" ca="1" si="15"/>
        <v>2</v>
      </c>
    </row>
    <row r="95" spans="2:10" x14ac:dyDescent="0.3">
      <c r="B95" t="s">
        <v>113</v>
      </c>
      <c r="C95" t="str">
        <f t="shared" ca="1" si="8"/>
        <v>F</v>
      </c>
      <c r="D95">
        <f t="shared" ca="1" si="9"/>
        <v>43</v>
      </c>
      <c r="E95" t="str">
        <f t="shared" ca="1" si="10"/>
        <v>Average</v>
      </c>
      <c r="F95" t="str">
        <f t="shared" ca="1" si="11"/>
        <v>Above Average</v>
      </c>
      <c r="G95" t="str">
        <f t="shared" ca="1" si="12"/>
        <v>No</v>
      </c>
      <c r="H95">
        <f t="shared" ca="1" si="13"/>
        <v>2</v>
      </c>
      <c r="I95">
        <f t="shared" ca="1" si="14"/>
        <v>3</v>
      </c>
      <c r="J95">
        <f t="shared" ca="1" si="15"/>
        <v>2</v>
      </c>
    </row>
    <row r="96" spans="2:10" x14ac:dyDescent="0.3">
      <c r="B96" t="s">
        <v>114</v>
      </c>
      <c r="C96" t="str">
        <f t="shared" ca="1" si="8"/>
        <v>M</v>
      </c>
      <c r="D96">
        <f t="shared" ca="1" si="9"/>
        <v>27</v>
      </c>
      <c r="E96" t="str">
        <f t="shared" ca="1" si="10"/>
        <v>Above Average</v>
      </c>
      <c r="F96" t="str">
        <f t="shared" ca="1" si="11"/>
        <v>Above Average</v>
      </c>
      <c r="G96" t="str">
        <f t="shared" ca="1" si="12"/>
        <v>Yes</v>
      </c>
      <c r="H96">
        <f t="shared" ca="1" si="13"/>
        <v>1</v>
      </c>
      <c r="I96">
        <f t="shared" ca="1" si="14"/>
        <v>2</v>
      </c>
      <c r="J96">
        <f t="shared" ca="1" si="15"/>
        <v>2</v>
      </c>
    </row>
    <row r="97" spans="2:10" x14ac:dyDescent="0.3">
      <c r="B97" t="s">
        <v>115</v>
      </c>
      <c r="C97" t="str">
        <f t="shared" ca="1" si="8"/>
        <v>M</v>
      </c>
      <c r="D97">
        <f t="shared" ca="1" si="9"/>
        <v>32</v>
      </c>
      <c r="E97" t="str">
        <f t="shared" ca="1" si="10"/>
        <v>Excellent</v>
      </c>
      <c r="F97" t="str">
        <f t="shared" ca="1" si="11"/>
        <v>Poor</v>
      </c>
      <c r="G97" t="str">
        <f t="shared" ca="1" si="12"/>
        <v>Yes</v>
      </c>
      <c r="H97">
        <f t="shared" ca="1" si="13"/>
        <v>1</v>
      </c>
      <c r="I97">
        <f t="shared" ca="1" si="14"/>
        <v>1</v>
      </c>
      <c r="J97">
        <f t="shared" ca="1" si="15"/>
        <v>5</v>
      </c>
    </row>
    <row r="98" spans="2:10" x14ac:dyDescent="0.3">
      <c r="B98" t="s">
        <v>116</v>
      </c>
      <c r="C98" t="str">
        <f t="shared" ca="1" si="8"/>
        <v>M</v>
      </c>
      <c r="D98">
        <f t="shared" ca="1" si="9"/>
        <v>30</v>
      </c>
      <c r="E98" t="str">
        <f t="shared" ca="1" si="10"/>
        <v>Excellent</v>
      </c>
      <c r="F98" t="str">
        <f t="shared" ca="1" si="11"/>
        <v>Below Average</v>
      </c>
      <c r="G98" t="str">
        <f t="shared" ca="1" si="12"/>
        <v>No</v>
      </c>
      <c r="H98">
        <f t="shared" ca="1" si="13"/>
        <v>1</v>
      </c>
      <c r="I98">
        <f t="shared" ca="1" si="14"/>
        <v>1</v>
      </c>
      <c r="J98">
        <f t="shared" ca="1" si="15"/>
        <v>4</v>
      </c>
    </row>
    <row r="99" spans="2:10" x14ac:dyDescent="0.3">
      <c r="B99" t="s">
        <v>117</v>
      </c>
      <c r="C99" t="str">
        <f t="shared" ca="1" si="8"/>
        <v>M</v>
      </c>
      <c r="D99">
        <f t="shared" ca="1" si="9"/>
        <v>38</v>
      </c>
      <c r="E99" t="str">
        <f t="shared" ca="1" si="10"/>
        <v>Above Average</v>
      </c>
      <c r="F99" t="str">
        <f t="shared" ca="1" si="11"/>
        <v>Above Average</v>
      </c>
      <c r="G99" t="str">
        <f t="shared" ca="1" si="12"/>
        <v>Yes</v>
      </c>
      <c r="H99">
        <f t="shared" ca="1" si="13"/>
        <v>1</v>
      </c>
      <c r="I99">
        <f t="shared" ca="1" si="14"/>
        <v>2</v>
      </c>
      <c r="J99">
        <f t="shared" ca="1" si="15"/>
        <v>2</v>
      </c>
    </row>
    <row r="100" spans="2:10" x14ac:dyDescent="0.3">
      <c r="B100" t="s">
        <v>118</v>
      </c>
      <c r="C100" t="str">
        <f t="shared" ca="1" si="8"/>
        <v>M</v>
      </c>
      <c r="D100">
        <f t="shared" ca="1" si="9"/>
        <v>35</v>
      </c>
      <c r="E100" t="str">
        <f t="shared" ca="1" si="10"/>
        <v>Above Average</v>
      </c>
      <c r="F100" t="str">
        <f t="shared" ca="1" si="11"/>
        <v>Average</v>
      </c>
      <c r="G100" t="str">
        <f t="shared" ca="1" si="12"/>
        <v>No</v>
      </c>
      <c r="H100">
        <f t="shared" ca="1" si="13"/>
        <v>1</v>
      </c>
      <c r="I100">
        <f t="shared" ca="1" si="14"/>
        <v>2</v>
      </c>
      <c r="J100">
        <f t="shared" ca="1" si="15"/>
        <v>3</v>
      </c>
    </row>
    <row r="101" spans="2:10" x14ac:dyDescent="0.3">
      <c r="B101" t="s">
        <v>119</v>
      </c>
      <c r="C101" t="str">
        <f t="shared" ca="1" si="8"/>
        <v>F</v>
      </c>
      <c r="D101">
        <f t="shared" ca="1" si="9"/>
        <v>44</v>
      </c>
      <c r="E101" t="str">
        <f t="shared" ca="1" si="10"/>
        <v>Above Average</v>
      </c>
      <c r="F101" t="str">
        <f t="shared" ca="1" si="11"/>
        <v>Above Average</v>
      </c>
      <c r="G101" t="str">
        <f t="shared" ca="1" si="12"/>
        <v>Yes</v>
      </c>
      <c r="H101">
        <f t="shared" ca="1" si="13"/>
        <v>2</v>
      </c>
      <c r="I101">
        <f t="shared" ca="1" si="14"/>
        <v>2</v>
      </c>
      <c r="J101">
        <f t="shared" ca="1" si="15"/>
        <v>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Rate Tables</vt:lpstr>
      <vt:lpstr>Premium Calc</vt:lpstr>
      <vt:lpstr>Policy Data</vt:lpstr>
      <vt:lpstr>Policy holder Premiums</vt:lpstr>
      <vt:lpstr>Index Match</vt:lpstr>
      <vt:lpstr>Policy Data (2)</vt:lpstr>
      <vt:lpstr>age_vs_gender</vt:lpstr>
      <vt:lpstr>family_health</vt:lpstr>
      <vt:lpstr>health_history</vt:lpstr>
      <vt:lpstr>smoking_factor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Yath G</dc:creator>
  <cp:lastModifiedBy>Yath G</cp:lastModifiedBy>
  <dcterms:created xsi:type="dcterms:W3CDTF">2024-04-04T09:13:33Z</dcterms:created>
  <dcterms:modified xsi:type="dcterms:W3CDTF">2024-04-18T08:07:55Z</dcterms:modified>
</cp:coreProperties>
</file>